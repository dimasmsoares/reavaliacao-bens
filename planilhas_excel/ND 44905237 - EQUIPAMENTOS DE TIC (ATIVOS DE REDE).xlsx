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definedNames>
    <definedName name="_xlnm._FilterDatabase" localSheetId="0" hidden="1">Generico!$A$6:$R$6</definedName>
  </definedNames>
  <calcPr calcId="152511"/>
</workbook>
</file>

<file path=xl/calcChain.xml><?xml version="1.0" encoding="utf-8"?>
<calcChain xmlns="http://schemas.openxmlformats.org/spreadsheetml/2006/main">
  <c r="Q14" i="1" l="1"/>
  <c r="P8" i="1"/>
  <c r="P9" i="1"/>
  <c r="P10" i="1"/>
  <c r="P11" i="1"/>
  <c r="P12" i="1"/>
  <c r="P13" i="1"/>
  <c r="P7" i="1"/>
  <c r="I14" i="1"/>
  <c r="H14" i="1"/>
</calcChain>
</file>

<file path=xl/sharedStrings.xml><?xml version="1.0" encoding="utf-8"?>
<sst xmlns="http://schemas.openxmlformats.org/spreadsheetml/2006/main" count="82" uniqueCount="45">
  <si>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</si>
  <si>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</si>
  <si>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</si>
  <si>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</si>
  <si>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</si>
  <si>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</si>
  <si>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</si>
  <si>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</si>
  <si>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</si>
  <si>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</si>
  <si>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</si>
  <si>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</si>
  <si>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</si>
  <si>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</si>
  <si>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44905237</t>
  </si>
  <si>
    <t> REDE DE ARMAZENAMENTO (SAN) (31940)</t>
  </si>
  <si>
    <t> EMC2</t>
  </si>
  <si>
    <t> ED-DCX8510-4B</t>
  </si>
  <si>
    <t> 30/08/2018</t>
  </si>
  <si>
    <t> 5</t>
  </si>
  <si>
    <t> 0</t>
  </si>
  <si>
    <t> 4</t>
  </si>
  <si>
    <t> REGULAR</t>
  </si>
  <si>
    <t> SWITCH (ATIVO DE REDE) (39033)</t>
  </si>
  <si>
    <t> D-LINK</t>
  </si>
  <si>
    <t> DSG-1510-28</t>
  </si>
  <si>
    <t> 22/12/2021</t>
  </si>
  <si>
    <t> 1</t>
  </si>
  <si>
    <t> SISTEMA DE CABEAMENTO À REDE MATRIZ KVM (39405)</t>
  </si>
  <si>
    <t> Agregação</t>
  </si>
  <si>
    <t> ALFRED KVM</t>
  </si>
  <si>
    <t> ESTRUTURA DE REDE</t>
  </si>
  <si>
    <t> DONGLE (CHAVE DE LICENÇA DE SOFTWARE) (39406)</t>
  </si>
  <si>
    <t> ATEN</t>
  </si>
  <si>
    <t> CCKM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</si>
  <si>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</si>
  <si>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</si>
  <si>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 xml:space="preserve"> 7 BENS</t>
  </si>
  <si>
    <t>NATUREZA DE DESPESA 44905237 - EQUIPAMENTO DE TIC  (ATIVOS DE REDE)</t>
  </si>
  <si>
    <t>TOTAL=&gt;</t>
  </si>
  <si>
    <t>VALOR DE MERCADO (VMB)</t>
  </si>
  <si>
    <t>ESTADO DE CONSERVAÇÃO (EC)</t>
  </si>
  <si>
    <t>FATOR DE REAVALIAÇÃO (FR)</t>
  </si>
  <si>
    <t>VALOR DO BEM REAVALIADO (VBR)</t>
  </si>
  <si>
    <t>PORTARIA Nº   , DE  /  /2026 - COMISSÃO ESPECIAL DE REAVALIAÇÃO DE BENS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</si>
</sst>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/>
    <xf numFmtId="0" fontId="23" fillId="0" borderId="10" xfId="0" applyFont="1" applyBorder="1" applyAlignment="1">
      <alignment horizontal="left" vertical="center" wrapText="1"/>
    </xf>
    <xf numFmtId="164" fontId="23" fillId="0" borderId="10" xfId="0" applyNumberFormat="1" applyFont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164" fontId="22" fillId="34" borderId="10" xfId="0" applyNumberFormat="1" applyFont="1" applyFill="1" applyBorder="1" applyAlignment="1">
      <alignment horizontal="left" vertical="center" wrapText="1"/>
    </xf>
    <xf numFmtId="0" fontId="23" fillId="0" borderId="10" xfId="0" applyNumberFormat="1" applyFont="1" applyBorder="1" applyAlignment="1">
      <alignment horizontal="left" vertical="center" wrapText="1"/>
    </xf>
    <xf numFmtId="164" fontId="22" fillId="0" borderId="0" xfId="0" applyNumberFormat="1" applyFont="1" applyFill="1" applyBorder="1" applyAlignment="1">
      <alignment horizontal="left" vertical="center" wrapText="1"/>
    </xf>
    <xf numFmtId="0" fontId="16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/>
    <xf numFmtId="0" fontId="21" fillId="33" borderId="10" xfId="0" applyFont="1" applyFill="1" applyBorder="1" applyAlignment="1">
      <alignment horizontal="center" wrapText="1"/>
    </xf>
    <xf numFmtId="0" fontId="21" fillId="33" borderId="10" xfId="0" applyFont="1" applyFill="1" applyBorder="1"/>
    <xf numFmtId="0" fontId="22" fillId="34" borderId="10" xfId="0" applyFont="1" applyFill="1" applyBorder="1" applyAlignment="1">
      <alignment horizontal="center" vertical="center"/>
    </xf>
    <xf numFmtId="164" fontId="22" fillId="34" borderId="10" xfId="0" applyNumberFormat="1" applyFont="1" applyFill="1" applyBorder="1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1</xdr:col>
          <xdr:colOff>276225</xdr:colOff>
          <xdr:row>5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14"/>
  <sheetViews>
    <sheetView showGridLines="0" tabSelected="1" workbookViewId="0">
      <selection activeCell="G21" sqref="G21"/>
    </sheetView>
  </sheetViews>
  <sheetFormatPr defaultRowHeight="15" x14ac:dyDescent="0.25"/>
  <cols>
    <col min="1" max="1" width="9.5703125" customWidth="1"/>
    <col min="2" max="2" width="36.5703125" bestFit="1" customWidth="1"/>
    <col min="3" max="3" width="7" customWidth="1"/>
    <col min="4" max="4" width="10.5703125" bestFit="1" customWidth="1"/>
    <col min="5" max="5" width="12.5703125" bestFit="1" customWidth="1"/>
    <col min="6" max="6" width="19.42578125" bestFit="1" customWidth="1"/>
    <col min="7" max="7" width="11.42578125" customWidth="1"/>
    <col min="8" max="8" width="14.42578125" style="1" bestFit="1" customWidth="1"/>
    <col min="9" max="9" width="10.85546875" style="1" customWidth="1"/>
    <col min="10" max="10" width="14.42578125" style="1" customWidth="1"/>
    <col min="11" max="11" width="12" style="1" customWidth="1"/>
    <col min="12" max="12" width="21.85546875" customWidth="1"/>
    <col min="13" max="13" width="6.5703125" style="1" customWidth="1"/>
    <col min="14" max="14" width="20.5703125" bestFit="1" customWidth="1"/>
    <col min="15" max="15" width="7" style="1" customWidth="1"/>
    <col min="16" max="16" width="12.5703125" style="1" customWidth="1"/>
    <col min="17" max="17" width="12.85546875" style="1" customWidth="1"/>
    <col min="18" max="18" width="8.42578125" customWidth="1"/>
  </cols>
  <sheetData>
    <row r="1" spans="1:18" s="1" customFormat="1" x14ac:dyDescent="0.25">
      <c r="A1" s="8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s="1" customFormat="1" ht="15.75" x14ac:dyDescent="0.25">
      <c r="A2" s="9" t="s">
        <v>35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s="1" customFormat="1" ht="15.75" x14ac:dyDescent="0.25">
      <c r="A3" s="9" t="s">
        <v>36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1" customFormat="1" ht="15.75" x14ac:dyDescent="0.25">
      <c r="A4" s="9" t="s">
        <v>38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.75" x14ac:dyDescent="0.25">
      <c r="A5" s="11" t="s">
        <v>37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33.75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40</v>
      </c>
      <c r="K6" s="4" t="s">
        <v>41</v>
      </c>
      <c r="L6" s="4" t="s">
        <v>9</v>
      </c>
      <c r="M6" s="4" t="s">
        <v>10</v>
      </c>
      <c r="N6" s="4" t="s">
        <v>11</v>
      </c>
      <c r="O6" s="4" t="s">
        <v>12</v>
      </c>
      <c r="P6" s="4" t="s">
        <v>42</v>
      </c>
      <c r="Q6" s="4" t="s">
        <v>43</v>
      </c>
      <c r="R6" s="4" t="s">
        <v>13</v>
      </c>
    </row>
    <row r="7" spans="1:18" x14ac:dyDescent="0.25">
      <c r="A7" s="2" t="s">
        <v>14</v>
      </c>
      <c r="B7" s="2" t="s">
        <v>15</v>
      </c>
      <c r="C7" s="2">
        <v>372958</v>
      </c>
      <c r="D7" s="2"/>
      <c r="E7" s="2" t="s">
        <v>16</v>
      </c>
      <c r="F7" s="2" t="s">
        <v>17</v>
      </c>
      <c r="G7" s="2" t="s">
        <v>18</v>
      </c>
      <c r="H7" s="3">
        <v>1156870.82</v>
      </c>
      <c r="I7" s="3">
        <v>115687.22</v>
      </c>
      <c r="J7" s="3"/>
      <c r="K7" s="6">
        <v>8</v>
      </c>
      <c r="L7" s="2" t="s">
        <v>19</v>
      </c>
      <c r="M7" s="2">
        <v>5</v>
      </c>
      <c r="N7" s="2" t="s">
        <v>20</v>
      </c>
      <c r="O7" s="2">
        <v>4</v>
      </c>
      <c r="P7" s="2">
        <f>(4*K7+6*O7-3*M7)/100</f>
        <v>0.41</v>
      </c>
      <c r="Q7" s="3"/>
      <c r="R7" s="2" t="s">
        <v>22</v>
      </c>
    </row>
    <row r="8" spans="1:18" x14ac:dyDescent="0.25">
      <c r="A8" s="2" t="s">
        <v>14</v>
      </c>
      <c r="B8" s="2" t="s">
        <v>15</v>
      </c>
      <c r="C8" s="2">
        <v>372959</v>
      </c>
      <c r="D8" s="2"/>
      <c r="E8" s="2" t="s">
        <v>16</v>
      </c>
      <c r="F8" s="2" t="s">
        <v>17</v>
      </c>
      <c r="G8" s="2" t="s">
        <v>18</v>
      </c>
      <c r="H8" s="3">
        <v>1156870.81</v>
      </c>
      <c r="I8" s="3">
        <v>115687.21</v>
      </c>
      <c r="J8" s="3"/>
      <c r="K8" s="6">
        <v>8</v>
      </c>
      <c r="L8" s="2" t="s">
        <v>19</v>
      </c>
      <c r="M8" s="2">
        <v>5</v>
      </c>
      <c r="N8" s="2" t="s">
        <v>20</v>
      </c>
      <c r="O8" s="2">
        <v>4</v>
      </c>
      <c r="P8" s="2">
        <f t="shared" ref="P8:P13" si="0">(4*K8+6*O8-3*M8)/100</f>
        <v>0.41</v>
      </c>
      <c r="Q8" s="3"/>
      <c r="R8" s="2" t="s">
        <v>22</v>
      </c>
    </row>
    <row r="9" spans="1:18" x14ac:dyDescent="0.25">
      <c r="A9" s="2" t="s">
        <v>14</v>
      </c>
      <c r="B9" s="2" t="s">
        <v>23</v>
      </c>
      <c r="C9" s="2">
        <v>397027</v>
      </c>
      <c r="D9" s="2"/>
      <c r="E9" s="2" t="s">
        <v>24</v>
      </c>
      <c r="F9" s="2" t="s">
        <v>25</v>
      </c>
      <c r="G9" s="2" t="s">
        <v>26</v>
      </c>
      <c r="H9" s="3">
        <v>9000</v>
      </c>
      <c r="I9" s="3">
        <v>2115</v>
      </c>
      <c r="J9" s="3"/>
      <c r="K9" s="6">
        <v>8</v>
      </c>
      <c r="L9" s="2" t="s">
        <v>21</v>
      </c>
      <c r="M9" s="2">
        <v>4</v>
      </c>
      <c r="N9" s="2" t="s">
        <v>27</v>
      </c>
      <c r="O9" s="2">
        <v>4</v>
      </c>
      <c r="P9" s="2">
        <f t="shared" si="0"/>
        <v>0.44</v>
      </c>
      <c r="Q9" s="3"/>
      <c r="R9" s="2" t="s">
        <v>22</v>
      </c>
    </row>
    <row r="10" spans="1:18" ht="22.5" x14ac:dyDescent="0.25">
      <c r="A10" s="2" t="s">
        <v>14</v>
      </c>
      <c r="B10" s="2" t="s">
        <v>28</v>
      </c>
      <c r="C10" s="2">
        <v>397027</v>
      </c>
      <c r="D10" s="2" t="s">
        <v>29</v>
      </c>
      <c r="E10" s="2" t="s">
        <v>30</v>
      </c>
      <c r="F10" s="2" t="s">
        <v>31</v>
      </c>
      <c r="G10" s="2" t="s">
        <v>26</v>
      </c>
      <c r="H10" s="3">
        <v>36858</v>
      </c>
      <c r="I10" s="3">
        <v>8661.6299999999992</v>
      </c>
      <c r="J10" s="3"/>
      <c r="K10" s="6">
        <v>8</v>
      </c>
      <c r="L10" s="2" t="s">
        <v>21</v>
      </c>
      <c r="M10" s="2">
        <v>4</v>
      </c>
      <c r="N10" s="2" t="s">
        <v>27</v>
      </c>
      <c r="O10" s="2">
        <v>4</v>
      </c>
      <c r="P10" s="2">
        <f t="shared" si="0"/>
        <v>0.44</v>
      </c>
      <c r="Q10" s="3"/>
      <c r="R10" s="2" t="s">
        <v>22</v>
      </c>
    </row>
    <row r="11" spans="1:18" x14ac:dyDescent="0.25">
      <c r="A11" s="2" t="s">
        <v>14</v>
      </c>
      <c r="B11" s="2" t="s">
        <v>23</v>
      </c>
      <c r="C11" s="2">
        <v>397028</v>
      </c>
      <c r="D11" s="2"/>
      <c r="E11" s="2" t="s">
        <v>24</v>
      </c>
      <c r="F11" s="2" t="s">
        <v>25</v>
      </c>
      <c r="G11" s="2" t="s">
        <v>26</v>
      </c>
      <c r="H11" s="3">
        <v>9000</v>
      </c>
      <c r="I11" s="3">
        <v>2115</v>
      </c>
      <c r="J11" s="3"/>
      <c r="K11" s="6">
        <v>8</v>
      </c>
      <c r="L11" s="2" t="s">
        <v>21</v>
      </c>
      <c r="M11" s="2">
        <v>4</v>
      </c>
      <c r="N11" s="2" t="s">
        <v>27</v>
      </c>
      <c r="O11" s="2">
        <v>4</v>
      </c>
      <c r="P11" s="2">
        <f t="shared" si="0"/>
        <v>0.44</v>
      </c>
      <c r="Q11" s="3"/>
      <c r="R11" s="2" t="s">
        <v>22</v>
      </c>
    </row>
    <row r="12" spans="1:18" ht="22.5" x14ac:dyDescent="0.25">
      <c r="A12" s="2" t="s">
        <v>14</v>
      </c>
      <c r="B12" s="2" t="s">
        <v>28</v>
      </c>
      <c r="C12" s="2">
        <v>397028</v>
      </c>
      <c r="D12" s="2" t="s">
        <v>29</v>
      </c>
      <c r="E12" s="2" t="s">
        <v>30</v>
      </c>
      <c r="F12" s="2" t="s">
        <v>31</v>
      </c>
      <c r="G12" s="2" t="s">
        <v>26</v>
      </c>
      <c r="H12" s="3">
        <v>36858</v>
      </c>
      <c r="I12" s="3">
        <v>8661.6299999999992</v>
      </c>
      <c r="J12" s="3"/>
      <c r="K12" s="6">
        <v>8</v>
      </c>
      <c r="L12" s="2" t="s">
        <v>21</v>
      </c>
      <c r="M12" s="2">
        <v>4</v>
      </c>
      <c r="N12" s="2" t="s">
        <v>27</v>
      </c>
      <c r="O12" s="2">
        <v>4</v>
      </c>
      <c r="P12" s="2">
        <f t="shared" si="0"/>
        <v>0.44</v>
      </c>
      <c r="Q12" s="3"/>
      <c r="R12" s="2" t="s">
        <v>22</v>
      </c>
    </row>
    <row r="13" spans="1:18" x14ac:dyDescent="0.25">
      <c r="A13" s="2" t="s">
        <v>14</v>
      </c>
      <c r="B13" s="2" t="s">
        <v>32</v>
      </c>
      <c r="C13" s="2">
        <v>397068</v>
      </c>
      <c r="D13" s="2"/>
      <c r="E13" s="2" t="s">
        <v>33</v>
      </c>
      <c r="F13" s="2" t="s">
        <v>34</v>
      </c>
      <c r="G13" s="2" t="s">
        <v>26</v>
      </c>
      <c r="H13" s="3">
        <v>16000</v>
      </c>
      <c r="I13" s="3">
        <v>3760</v>
      </c>
      <c r="J13" s="3"/>
      <c r="K13" s="6">
        <v>8</v>
      </c>
      <c r="L13" s="2" t="s">
        <v>21</v>
      </c>
      <c r="M13" s="2">
        <v>4</v>
      </c>
      <c r="N13" s="2" t="s">
        <v>27</v>
      </c>
      <c r="O13" s="2">
        <v>4</v>
      </c>
      <c r="P13" s="2">
        <f t="shared" si="0"/>
        <v>0.44</v>
      </c>
      <c r="Q13" s="3"/>
      <c r="R13" s="2" t="s">
        <v>22</v>
      </c>
    </row>
    <row r="14" spans="1:18" x14ac:dyDescent="0.25">
      <c r="A14" s="13" t="s">
        <v>39</v>
      </c>
      <c r="B14" s="13"/>
      <c r="C14" s="13"/>
      <c r="D14" s="13"/>
      <c r="E14" s="13"/>
      <c r="F14" s="13"/>
      <c r="G14" s="13"/>
      <c r="H14" s="14">
        <f>SUM(H7:H13)</f>
        <v>2421457.63</v>
      </c>
      <c r="I14" s="5">
        <f>SUM(I7:I13)</f>
        <v>256687.69</v>
      </c>
      <c r="J14" s="7"/>
      <c r="K14" s="7"/>
      <c r="Q14" s="14">
        <f>SUM(Q7:Q13)</f>
        <v>0</v>
      </c>
    </row>
  </sheetData>
  <mergeCells count="6">
    <mergeCell ref="A1:R1"/>
    <mergeCell ref="A14:G14"/>
    <mergeCell ref="A2:R2"/>
    <mergeCell ref="A3:R3"/>
    <mergeCell ref="A4:R4"/>
    <mergeCell ref="A5:R5"/>
  </mergeCells>
  <pageMargins left="0.78740157499999996" right="0.78740157499999996" top="0.984251969" bottom="0.984251969" header="0.4921259845" footer="0.4921259845"/>
  <pageSetup paperSize="9" scale="52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1</xdr:col>
                <xdr:colOff>276225</xdr:colOff>
                <xdr:row>5</xdr:row>
                <xdr:rowOff>228600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2026-04-15T20:55:33Z</cp:lastPrinted>
  <dcterms:created xsi:type="dcterms:W3CDTF">2026-04-10T17:09:12Z</dcterms:created>
  <dcterms:modified xsi:type="dcterms:W3CDTF">2026-04-16T13:08:49Z</dcterms:modified>
</cp:coreProperties>
</file>