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EstaPasta_de_trabalho" defaultThemeVersion="153222"/>
  <mc:AlternateContent xmlns:mc="http://schemas.openxmlformats.org/markup-compatibility/2006">
    <mc:Choice Requires="x15">
      <x15ac:absPath xmlns:x15ac="http://schemas.microsoft.com/office/spreadsheetml/2010/11/ac" url="C:\Users\P_8235\Desktop\COMISSÃO DE AVALIAÇÃO 2026\"/>
    </mc:Choice>
  </mc:AlternateContent>
  <bookViews>
    <workbookView xWindow="0" yWindow="0" windowWidth="28800" windowHeight="12315"/>
  </bookViews>
  <sheets>
    <sheet name="Generico" sheetId="1" r:id="rId1"/>
  </sheets>
  <definedNames>
    <definedName name="_xlnm._FilterDatabase" localSheetId="0" hidden="1">Generico!$A$7:$R$7</definedName>
  </definedNames>
  <calcPr calcId="152511"/>
</workbook>
</file>

<file path=xl/calcChain.xml><?xml version="1.0" encoding="utf-8"?>
<calcChain xmlns="http://schemas.openxmlformats.org/spreadsheetml/2006/main">
  <c r="Q33" i="1" l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8" i="1"/>
  <c r="I33" i="1"/>
  <c r="H33" i="1"/>
</calcChain>
</file>

<file path=xl/sharedStrings.xml><?xml version="1.0" encoding="utf-8"?>
<sst xmlns="http://schemas.openxmlformats.org/spreadsheetml/2006/main" count="225" uniqueCount="90">
  <si>
    <t>Natureza de Despesa</t>
  </si>
  <si>
    <t>Material</t>
  </si>
  <si>
    <t>NRP</t>
  </si>
  <si>
    <t>TIPO</t>
  </si>
  <si>
    <t>Marca</t>
  </si>
  <si>
    <t>Modelo</t>
  </si>
  <si>
    <t>Data de Tombamento</t>
  </si>
  <si>
    <t>Valor Contabil</t>
  </si>
  <si>
    <t>Valor Atual</t>
  </si>
  <si>
    <t>PUB (PERÍODO DE UTILIZAÇÃO DO BEM – DECORRIDO - Anos</t>
  </si>
  <si>
    <t>FATOR PUB</t>
  </si>
  <si>
    <t>PVU (PERÍODO DE VIDA ÚTIL – REMANESCENTE - Anos)</t>
  </si>
  <si>
    <t>FATOR PVU</t>
  </si>
  <si>
    <t>Situação do Bem</t>
  </si>
  <si>
    <t> 44905228</t>
  </si>
  <si>
    <t> FORNO ELÉTRICO INDUSTRIAL (12051)</t>
  </si>
  <si>
    <t> IMEQUI</t>
  </si>
  <si>
    <t> FELS</t>
  </si>
  <si>
    <t> 25/11/1999</t>
  </si>
  <si>
    <t> 20</t>
  </si>
  <si>
    <t> 10</t>
  </si>
  <si>
    <t> 0</t>
  </si>
  <si>
    <t> REGULAR</t>
  </si>
  <si>
    <t> FOGÃO INDUSTRIAL, 08 BOCAS (12049)</t>
  </si>
  <si>
    <t> SERVINOX</t>
  </si>
  <si>
    <t> C/ 08 BOCAS</t>
  </si>
  <si>
    <t> 18/11/1999</t>
  </si>
  <si>
    <t> ESTUFA PARA AQUECER ALIMENTOS (12058)</t>
  </si>
  <si>
    <t> UNIVERSAL</t>
  </si>
  <si>
    <t> EIM 96 T 220</t>
  </si>
  <si>
    <t> 10/05/2005</t>
  </si>
  <si>
    <t> PIPOQUEIRA (16559)</t>
  </si>
  <si>
    <t> LM</t>
  </si>
  <si>
    <t> ***</t>
  </si>
  <si>
    <t> 31/08/2004</t>
  </si>
  <si>
    <t> ESTUFA A VAPOR P/AQUECIMENTO DE MARMITAS (12057)</t>
  </si>
  <si>
    <t> EIM48T230</t>
  </si>
  <si>
    <t> 09/02/2007</t>
  </si>
  <si>
    <t> 19</t>
  </si>
  <si>
    <t> 1</t>
  </si>
  <si>
    <t> REFRIGERADOR COMERCIAL (12016)</t>
  </si>
  <si>
    <t> ORMIFRIO</t>
  </si>
  <si>
    <t> GCI 004</t>
  </si>
  <si>
    <t> LIQÜIDIFICADOR INDUSTRIAL (12076)</t>
  </si>
  <si>
    <t> BRAESI</t>
  </si>
  <si>
    <t> INDUSTRIAL</t>
  </si>
  <si>
    <t> 12/01/2009</t>
  </si>
  <si>
    <t> 17</t>
  </si>
  <si>
    <t> 3</t>
  </si>
  <si>
    <t> EIM48T(PARA 40 MARMITAS)</t>
  </si>
  <si>
    <t> 30/05/2014</t>
  </si>
  <si>
    <t> 11</t>
  </si>
  <si>
    <t> 9</t>
  </si>
  <si>
    <t> EIM96T(PARA 90 MARMITAS)</t>
  </si>
  <si>
    <t> SPOLUS</t>
  </si>
  <si>
    <t> S22-X</t>
  </si>
  <si>
    <t> 19/01/2016</t>
  </si>
  <si>
    <t> MÁQUINA DE FABRICAR GELO (12032)</t>
  </si>
  <si>
    <t> BENMAX</t>
  </si>
  <si>
    <t> BEN-50A</t>
  </si>
  <si>
    <t> 12/08/2016</t>
  </si>
  <si>
    <t> SKYMSEN</t>
  </si>
  <si>
    <t> LS-08MB-N</t>
  </si>
  <si>
    <t> 14/02/2017</t>
  </si>
  <si>
    <t> EIM 48T 220</t>
  </si>
  <si>
    <t> 10/08/2017</t>
  </si>
  <si>
    <t> 8</t>
  </si>
  <si>
    <t> 12</t>
  </si>
  <si>
    <t> ENVOLVEDORA DE PALETES (29976)</t>
  </si>
  <si>
    <t> FILPEMACK</t>
  </si>
  <si>
    <t> FILPACKCAF/PT 1.500</t>
  </si>
  <si>
    <t> 13/12/2018</t>
  </si>
  <si>
    <t> 7</t>
  </si>
  <si>
    <t> 13</t>
  </si>
  <si>
    <t> JL COLOMBO</t>
  </si>
  <si>
    <t> BR 4L</t>
  </si>
  <si>
    <t> 01/02/2021</t>
  </si>
  <si>
    <t> 5</t>
  </si>
  <si>
    <t> 15</t>
  </si>
  <si>
    <t>SIGMAS - Relatório Genérico - Patrimônio</t>
  </si>
  <si>
    <r>
      <t xml:space="preserve">Servidor: </t>
    </r>
    <r>
      <rPr>
        <b/>
        <sz val="12"/>
        <color rgb="FF008000"/>
        <rFont val="Calibri"/>
        <family val="2"/>
        <scheme val="minor"/>
      </rPr>
      <t>Silvano De Araujo Teixeira</t>
    </r>
    <r>
      <rPr>
        <b/>
        <sz val="12"/>
        <color theme="1"/>
        <rFont val="Calibri"/>
        <family val="2"/>
        <scheme val="minor"/>
      </rPr>
      <t xml:space="preserve"> - Ponto: </t>
    </r>
    <r>
      <rPr>
        <b/>
        <sz val="12"/>
        <color rgb="FF008000"/>
        <rFont val="Calibri"/>
        <family val="2"/>
        <scheme val="minor"/>
      </rPr>
      <t>P_8235</t>
    </r>
  </si>
  <si>
    <t>NATUREZA DE DESPESA 44905228 - MÁQUINAS E EQUIPAMENTOS DE NATUREZA INDUSTRIAL</t>
  </si>
  <si>
    <t>DATA DE EMISSÃO DO RELATÓRIO: 13/4/2026</t>
  </si>
  <si>
    <t xml:space="preserve"> 25 BENS</t>
  </si>
  <si>
    <t>TOTAL=&gt;</t>
  </si>
  <si>
    <t>VALOR DE MERCADO (VMB)</t>
  </si>
  <si>
    <t>ESTADO DE CONSERVAÇÃO (EC)</t>
  </si>
  <si>
    <t>FATOR DE REAVALIAÇÃO (FR)</t>
  </si>
  <si>
    <t>VALOR DO BEM REAVALIADO (VBR)</t>
  </si>
  <si>
    <t>PORTARIA Nº   , DE  /  /2026 - COMISSÃO ESPECIAL DE REAVALIAÇÃO DE BENS MÓVEIS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</si>
</sst>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R$&quot;\ #,##0.0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5">
    <xf numFmtId="0" fontId="0" fillId="0" borderId="0" xfId="0"/>
    <xf numFmtId="0" fontId="24" fillId="0" borderId="10" xfId="0" applyFont="1" applyBorder="1" applyAlignment="1">
      <alignment horizontal="left" vertical="center" wrapText="1"/>
    </xf>
    <xf numFmtId="0" fontId="23" fillId="34" borderId="10" xfId="0" applyFont="1" applyFill="1" applyBorder="1" applyAlignment="1">
      <alignment horizontal="left" vertical="center" wrapText="1"/>
    </xf>
    <xf numFmtId="164" fontId="24" fillId="0" borderId="10" xfId="0" applyNumberFormat="1" applyFont="1" applyBorder="1" applyAlignment="1">
      <alignment horizontal="left" vertical="center" wrapText="1"/>
    </xf>
    <xf numFmtId="164" fontId="23" fillId="34" borderId="10" xfId="0" applyNumberFormat="1" applyFont="1" applyFill="1" applyBorder="1" applyAlignment="1">
      <alignment horizontal="left" vertical="center" wrapText="1"/>
    </xf>
    <xf numFmtId="0" fontId="24" fillId="0" borderId="10" xfId="0" applyNumberFormat="1" applyFont="1" applyBorder="1" applyAlignment="1">
      <alignment horizontal="left" vertical="center" wrapText="1"/>
    </xf>
    <xf numFmtId="164" fontId="23" fillId="0" borderId="0" xfId="0" applyNumberFormat="1" applyFont="1" applyFill="1" applyBorder="1" applyAlignment="1">
      <alignment horizontal="left" vertical="center" wrapText="1"/>
    </xf>
    <xf numFmtId="0" fontId="16" fillId="33" borderId="10" xfId="0" applyFont="1" applyFill="1" applyBorder="1" applyAlignment="1">
      <alignment horizontal="center"/>
    </xf>
    <xf numFmtId="0" fontId="21" fillId="33" borderId="10" xfId="0" applyFont="1" applyFill="1" applyBorder="1" applyAlignment="1">
      <alignment horizontal="center" wrapText="1"/>
    </xf>
    <xf numFmtId="0" fontId="22" fillId="33" borderId="10" xfId="0" applyFont="1" applyFill="1" applyBorder="1"/>
    <xf numFmtId="0" fontId="18" fillId="33" borderId="10" xfId="0" applyFont="1" applyFill="1" applyBorder="1" applyAlignment="1">
      <alignment horizontal="center" wrapText="1"/>
    </xf>
    <xf numFmtId="0" fontId="19" fillId="33" borderId="10" xfId="0" applyFont="1" applyFill="1" applyBorder="1"/>
    <xf numFmtId="164" fontId="23" fillId="34" borderId="10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3" fillId="34" borderId="10" xfId="0" applyFont="1" applyFill="1" applyBorder="1" applyAlignment="1">
      <alignment horizontal="center" vertic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</xdr:row>
          <xdr:rowOff>0</xdr:rowOff>
        </xdr:from>
        <xdr:to>
          <xdr:col>1</xdr:col>
          <xdr:colOff>219075</xdr:colOff>
          <xdr:row>6</xdr:row>
          <xdr:rowOff>228600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1">
    <pageSetUpPr fitToPage="1"/>
  </sheetPr>
  <dimension ref="A1:R33"/>
  <sheetViews>
    <sheetView showGridLines="0" tabSelected="1" topLeftCell="A4" workbookViewId="0">
      <selection activeCell="F19" sqref="F19"/>
    </sheetView>
  </sheetViews>
  <sheetFormatPr defaultRowHeight="15" x14ac:dyDescent="0.25"/>
  <cols>
    <col min="1" max="1" width="10.42578125" customWidth="1"/>
    <col min="2" max="2" width="33.140625" bestFit="1" customWidth="1"/>
    <col min="3" max="3" width="6.140625" bestFit="1" customWidth="1"/>
    <col min="4" max="4" width="5.140625" customWidth="1"/>
    <col min="5" max="5" width="9.5703125" bestFit="1" customWidth="1"/>
    <col min="6" max="6" width="20" bestFit="1" customWidth="1"/>
    <col min="7" max="7" width="12.28515625" customWidth="1"/>
    <col min="8" max="8" width="13.7109375" customWidth="1"/>
    <col min="9" max="9" width="10.85546875" customWidth="1"/>
    <col min="10" max="10" width="12.7109375" customWidth="1"/>
    <col min="11" max="11" width="10" bestFit="1" customWidth="1"/>
    <col min="12" max="12" width="24.42578125" customWidth="1"/>
    <col min="13" max="13" width="5.42578125" customWidth="1"/>
    <col min="14" max="14" width="22" customWidth="1"/>
    <col min="15" max="16" width="11.140625" customWidth="1"/>
    <col min="17" max="17" width="13.42578125" customWidth="1"/>
    <col min="18" max="18" width="15.7109375" bestFit="1" customWidth="1"/>
  </cols>
  <sheetData>
    <row r="1" spans="1:18" x14ac:dyDescent="0.25">
      <c r="A1" s="7" t="s">
        <v>89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</row>
    <row r="2" spans="1:18" ht="15.75" x14ac:dyDescent="0.25">
      <c r="A2" s="10" t="s">
        <v>79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</row>
    <row r="3" spans="1:18" ht="15.75" x14ac:dyDescent="0.25">
      <c r="A3" s="10" t="s">
        <v>80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</row>
    <row r="4" spans="1:18" ht="15.75" x14ac:dyDescent="0.25">
      <c r="A4" s="10" t="s">
        <v>81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</row>
    <row r="5" spans="1:18" ht="15.75" x14ac:dyDescent="0.25">
      <c r="A5" s="8" t="s">
        <v>83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</row>
    <row r="6" spans="1:18" ht="15.75" x14ac:dyDescent="0.25">
      <c r="A6" s="8" t="s">
        <v>82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</row>
    <row r="7" spans="1:18" ht="33.75" x14ac:dyDescent="0.25">
      <c r="A7" s="2" t="s">
        <v>0</v>
      </c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  <c r="G7" s="2" t="s">
        <v>6</v>
      </c>
      <c r="H7" s="2" t="s">
        <v>7</v>
      </c>
      <c r="I7" s="2" t="s">
        <v>8</v>
      </c>
      <c r="J7" s="2" t="s">
        <v>85</v>
      </c>
      <c r="K7" s="2" t="s">
        <v>86</v>
      </c>
      <c r="L7" s="2" t="s">
        <v>9</v>
      </c>
      <c r="M7" s="2" t="s">
        <v>10</v>
      </c>
      <c r="N7" s="2" t="s">
        <v>11</v>
      </c>
      <c r="O7" s="2" t="s">
        <v>12</v>
      </c>
      <c r="P7" s="2" t="s">
        <v>87</v>
      </c>
      <c r="Q7" s="2" t="s">
        <v>88</v>
      </c>
      <c r="R7" s="2" t="s">
        <v>13</v>
      </c>
    </row>
    <row r="8" spans="1:18" x14ac:dyDescent="0.25">
      <c r="A8" s="1" t="s">
        <v>14</v>
      </c>
      <c r="B8" s="1" t="s">
        <v>15</v>
      </c>
      <c r="C8" s="1">
        <v>177742</v>
      </c>
      <c r="D8" s="1"/>
      <c r="E8" s="1" t="s">
        <v>16</v>
      </c>
      <c r="F8" s="1" t="s">
        <v>17</v>
      </c>
      <c r="G8" s="1" t="s">
        <v>18</v>
      </c>
      <c r="H8" s="3">
        <v>761.8</v>
      </c>
      <c r="I8" s="3">
        <v>761.8</v>
      </c>
      <c r="J8" s="3"/>
      <c r="K8" s="5">
        <v>8</v>
      </c>
      <c r="L8" s="1" t="s">
        <v>19</v>
      </c>
      <c r="M8" s="1">
        <v>10</v>
      </c>
      <c r="N8" s="1" t="s">
        <v>21</v>
      </c>
      <c r="O8" s="1">
        <v>4</v>
      </c>
      <c r="P8" s="1">
        <f>(4*K8+6*O8-3*M8)/100</f>
        <v>0.26</v>
      </c>
      <c r="Q8" s="3"/>
      <c r="R8" s="1" t="s">
        <v>22</v>
      </c>
    </row>
    <row r="9" spans="1:18" x14ac:dyDescent="0.25">
      <c r="A9" s="1" t="s">
        <v>14</v>
      </c>
      <c r="B9" s="1" t="s">
        <v>23</v>
      </c>
      <c r="C9" s="1">
        <v>177920</v>
      </c>
      <c r="D9" s="1"/>
      <c r="E9" s="1" t="s">
        <v>24</v>
      </c>
      <c r="F9" s="1" t="s">
        <v>25</v>
      </c>
      <c r="G9" s="1" t="s">
        <v>26</v>
      </c>
      <c r="H9" s="3">
        <v>856.84</v>
      </c>
      <c r="I9" s="3">
        <v>856.84</v>
      </c>
      <c r="J9" s="3"/>
      <c r="K9" s="5">
        <v>8</v>
      </c>
      <c r="L9" s="1" t="s">
        <v>19</v>
      </c>
      <c r="M9" s="1">
        <v>10</v>
      </c>
      <c r="N9" s="1" t="s">
        <v>21</v>
      </c>
      <c r="O9" s="1">
        <v>4</v>
      </c>
      <c r="P9" s="1">
        <f t="shared" ref="P9:P32" si="0">(4*K9+6*O9-3*M9)/100</f>
        <v>0.26</v>
      </c>
      <c r="Q9" s="3"/>
      <c r="R9" s="1" t="s">
        <v>22</v>
      </c>
    </row>
    <row r="10" spans="1:18" x14ac:dyDescent="0.25">
      <c r="A10" s="1" t="s">
        <v>14</v>
      </c>
      <c r="B10" s="1" t="s">
        <v>27</v>
      </c>
      <c r="C10" s="1">
        <v>194328</v>
      </c>
      <c r="D10" s="1"/>
      <c r="E10" s="1" t="s">
        <v>28</v>
      </c>
      <c r="F10" s="1" t="s">
        <v>29</v>
      </c>
      <c r="G10" s="1" t="s">
        <v>30</v>
      </c>
      <c r="H10" s="3">
        <v>1745.11</v>
      </c>
      <c r="I10" s="3">
        <v>1289.71</v>
      </c>
      <c r="J10" s="3"/>
      <c r="K10" s="5">
        <v>8</v>
      </c>
      <c r="L10" s="1" t="s">
        <v>19</v>
      </c>
      <c r="M10" s="1">
        <v>10</v>
      </c>
      <c r="N10" s="1" t="s">
        <v>21</v>
      </c>
      <c r="O10" s="1">
        <v>4</v>
      </c>
      <c r="P10" s="1">
        <f t="shared" si="0"/>
        <v>0.26</v>
      </c>
      <c r="Q10" s="3"/>
      <c r="R10" s="1" t="s">
        <v>22</v>
      </c>
    </row>
    <row r="11" spans="1:18" x14ac:dyDescent="0.25">
      <c r="A11" s="1" t="s">
        <v>14</v>
      </c>
      <c r="B11" s="1" t="s">
        <v>31</v>
      </c>
      <c r="C11" s="1">
        <v>220401</v>
      </c>
      <c r="D11" s="1"/>
      <c r="E11" s="1" t="s">
        <v>32</v>
      </c>
      <c r="F11" s="1" t="s">
        <v>33</v>
      </c>
      <c r="G11" s="1" t="s">
        <v>34</v>
      </c>
      <c r="H11" s="3">
        <v>598.97</v>
      </c>
      <c r="I11" s="3">
        <v>426.41</v>
      </c>
      <c r="J11" s="3"/>
      <c r="K11" s="5">
        <v>8</v>
      </c>
      <c r="L11" s="1" t="s">
        <v>19</v>
      </c>
      <c r="M11" s="1">
        <v>10</v>
      </c>
      <c r="N11" s="1" t="s">
        <v>21</v>
      </c>
      <c r="O11" s="1">
        <v>4</v>
      </c>
      <c r="P11" s="1">
        <f t="shared" si="0"/>
        <v>0.26</v>
      </c>
      <c r="Q11" s="3"/>
      <c r="R11" s="1" t="s">
        <v>22</v>
      </c>
    </row>
    <row r="12" spans="1:18" ht="22.5" x14ac:dyDescent="0.25">
      <c r="A12" s="1" t="s">
        <v>14</v>
      </c>
      <c r="B12" s="1" t="s">
        <v>35</v>
      </c>
      <c r="C12" s="1">
        <v>243968</v>
      </c>
      <c r="D12" s="1"/>
      <c r="E12" s="1" t="s">
        <v>28</v>
      </c>
      <c r="F12" s="1" t="s">
        <v>36</v>
      </c>
      <c r="G12" s="1" t="s">
        <v>37</v>
      </c>
      <c r="H12" s="3">
        <v>1826.66</v>
      </c>
      <c r="I12" s="3">
        <v>1271.96</v>
      </c>
      <c r="J12" s="3"/>
      <c r="K12" s="5">
        <v>8</v>
      </c>
      <c r="L12" s="1" t="s">
        <v>38</v>
      </c>
      <c r="M12" s="1">
        <v>10</v>
      </c>
      <c r="N12" s="1" t="s">
        <v>39</v>
      </c>
      <c r="O12" s="1">
        <v>4</v>
      </c>
      <c r="P12" s="1">
        <f t="shared" si="0"/>
        <v>0.26</v>
      </c>
      <c r="Q12" s="3"/>
      <c r="R12" s="1" t="s">
        <v>22</v>
      </c>
    </row>
    <row r="13" spans="1:18" ht="22.5" x14ac:dyDescent="0.25">
      <c r="A13" s="1" t="s">
        <v>14</v>
      </c>
      <c r="B13" s="1" t="s">
        <v>35</v>
      </c>
      <c r="C13" s="1">
        <v>243970</v>
      </c>
      <c r="D13" s="1"/>
      <c r="E13" s="1" t="s">
        <v>28</v>
      </c>
      <c r="F13" s="1" t="s">
        <v>36</v>
      </c>
      <c r="G13" s="1" t="s">
        <v>37</v>
      </c>
      <c r="H13" s="3">
        <v>1826.66</v>
      </c>
      <c r="I13" s="3">
        <v>1271.96</v>
      </c>
      <c r="J13" s="3"/>
      <c r="K13" s="5">
        <v>8</v>
      </c>
      <c r="L13" s="1" t="s">
        <v>38</v>
      </c>
      <c r="M13" s="1">
        <v>10</v>
      </c>
      <c r="N13" s="1" t="s">
        <v>39</v>
      </c>
      <c r="O13" s="1">
        <v>4</v>
      </c>
      <c r="P13" s="1">
        <f t="shared" si="0"/>
        <v>0.26</v>
      </c>
      <c r="Q13" s="3"/>
      <c r="R13" s="1" t="s">
        <v>22</v>
      </c>
    </row>
    <row r="14" spans="1:18" x14ac:dyDescent="0.25">
      <c r="A14" s="1" t="s">
        <v>14</v>
      </c>
      <c r="B14" s="1" t="s">
        <v>40</v>
      </c>
      <c r="C14" s="1">
        <v>243977</v>
      </c>
      <c r="D14" s="1"/>
      <c r="E14" s="1" t="s">
        <v>41</v>
      </c>
      <c r="F14" s="1" t="s">
        <v>42</v>
      </c>
      <c r="G14" s="1" t="s">
        <v>37</v>
      </c>
      <c r="H14" s="3">
        <v>2759.92</v>
      </c>
      <c r="I14" s="3">
        <v>2178.13</v>
      </c>
      <c r="J14" s="3"/>
      <c r="K14" s="5">
        <v>8</v>
      </c>
      <c r="L14" s="1" t="s">
        <v>38</v>
      </c>
      <c r="M14" s="1">
        <v>10</v>
      </c>
      <c r="N14" s="1" t="s">
        <v>39</v>
      </c>
      <c r="O14" s="1">
        <v>4</v>
      </c>
      <c r="P14" s="1">
        <f t="shared" si="0"/>
        <v>0.26</v>
      </c>
      <c r="Q14" s="3"/>
      <c r="R14" s="1" t="s">
        <v>22</v>
      </c>
    </row>
    <row r="15" spans="1:18" x14ac:dyDescent="0.25">
      <c r="A15" s="1" t="s">
        <v>14</v>
      </c>
      <c r="B15" s="1" t="s">
        <v>43</v>
      </c>
      <c r="C15" s="1">
        <v>260973</v>
      </c>
      <c r="D15" s="1"/>
      <c r="E15" s="1" t="s">
        <v>44</v>
      </c>
      <c r="F15" s="1" t="s">
        <v>45</v>
      </c>
      <c r="G15" s="1" t="s">
        <v>46</v>
      </c>
      <c r="H15" s="3">
        <v>362.7</v>
      </c>
      <c r="I15" s="3">
        <v>241.01</v>
      </c>
      <c r="J15" s="3"/>
      <c r="K15" s="5">
        <v>8</v>
      </c>
      <c r="L15" s="1" t="s">
        <v>47</v>
      </c>
      <c r="M15" s="1">
        <v>10</v>
      </c>
      <c r="N15" s="1" t="s">
        <v>48</v>
      </c>
      <c r="O15" s="1">
        <v>4</v>
      </c>
      <c r="P15" s="1">
        <f t="shared" si="0"/>
        <v>0.26</v>
      </c>
      <c r="Q15" s="3"/>
      <c r="R15" s="1" t="s">
        <v>22</v>
      </c>
    </row>
    <row r="16" spans="1:18" ht="22.5" x14ac:dyDescent="0.25">
      <c r="A16" s="1" t="s">
        <v>14</v>
      </c>
      <c r="B16" s="1" t="s">
        <v>35</v>
      </c>
      <c r="C16" s="1">
        <v>322475</v>
      </c>
      <c r="D16" s="1"/>
      <c r="E16" s="1" t="s">
        <v>28</v>
      </c>
      <c r="F16" s="1" t="s">
        <v>49</v>
      </c>
      <c r="G16" s="1" t="s">
        <v>50</v>
      </c>
      <c r="H16" s="3">
        <v>3412.98</v>
      </c>
      <c r="I16" s="3">
        <v>3012.65</v>
      </c>
      <c r="J16" s="3"/>
      <c r="K16" s="5">
        <v>8</v>
      </c>
      <c r="L16" s="1" t="s">
        <v>51</v>
      </c>
      <c r="M16" s="1">
        <v>10</v>
      </c>
      <c r="N16" s="1" t="s">
        <v>52</v>
      </c>
      <c r="O16" s="1">
        <v>9</v>
      </c>
      <c r="P16" s="1">
        <f t="shared" si="0"/>
        <v>0.56000000000000005</v>
      </c>
      <c r="Q16" s="3"/>
      <c r="R16" s="1" t="s">
        <v>22</v>
      </c>
    </row>
    <row r="17" spans="1:18" ht="22.5" x14ac:dyDescent="0.25">
      <c r="A17" s="1" t="s">
        <v>14</v>
      </c>
      <c r="B17" s="1" t="s">
        <v>35</v>
      </c>
      <c r="C17" s="1">
        <v>322476</v>
      </c>
      <c r="D17" s="1"/>
      <c r="E17" s="1" t="s">
        <v>28</v>
      </c>
      <c r="F17" s="1" t="s">
        <v>49</v>
      </c>
      <c r="G17" s="1" t="s">
        <v>50</v>
      </c>
      <c r="H17" s="3">
        <v>3412.98</v>
      </c>
      <c r="I17" s="3">
        <v>3012.65</v>
      </c>
      <c r="J17" s="3"/>
      <c r="K17" s="5">
        <v>8</v>
      </c>
      <c r="L17" s="1" t="s">
        <v>51</v>
      </c>
      <c r="M17" s="1">
        <v>10</v>
      </c>
      <c r="N17" s="1" t="s">
        <v>52</v>
      </c>
      <c r="O17" s="1">
        <v>9</v>
      </c>
      <c r="P17" s="1">
        <f t="shared" si="0"/>
        <v>0.56000000000000005</v>
      </c>
      <c r="Q17" s="3"/>
      <c r="R17" s="1" t="s">
        <v>22</v>
      </c>
    </row>
    <row r="18" spans="1:18" ht="22.5" x14ac:dyDescent="0.25">
      <c r="A18" s="1" t="s">
        <v>14</v>
      </c>
      <c r="B18" s="1" t="s">
        <v>35</v>
      </c>
      <c r="C18" s="1">
        <v>322477</v>
      </c>
      <c r="D18" s="1"/>
      <c r="E18" s="1" t="s">
        <v>28</v>
      </c>
      <c r="F18" s="1" t="s">
        <v>49</v>
      </c>
      <c r="G18" s="1" t="s">
        <v>50</v>
      </c>
      <c r="H18" s="3">
        <v>3412.98</v>
      </c>
      <c r="I18" s="3">
        <v>3012.65</v>
      </c>
      <c r="J18" s="3"/>
      <c r="K18" s="5">
        <v>8</v>
      </c>
      <c r="L18" s="1" t="s">
        <v>51</v>
      </c>
      <c r="M18" s="1">
        <v>10</v>
      </c>
      <c r="N18" s="1" t="s">
        <v>52</v>
      </c>
      <c r="O18" s="1">
        <v>9</v>
      </c>
      <c r="P18" s="1">
        <f t="shared" si="0"/>
        <v>0.56000000000000005</v>
      </c>
      <c r="Q18" s="3"/>
      <c r="R18" s="1" t="s">
        <v>22</v>
      </c>
    </row>
    <row r="19" spans="1:18" ht="22.5" x14ac:dyDescent="0.25">
      <c r="A19" s="1" t="s">
        <v>14</v>
      </c>
      <c r="B19" s="1" t="s">
        <v>35</v>
      </c>
      <c r="C19" s="1">
        <v>322478</v>
      </c>
      <c r="D19" s="1"/>
      <c r="E19" s="1" t="s">
        <v>28</v>
      </c>
      <c r="F19" s="1" t="s">
        <v>49</v>
      </c>
      <c r="G19" s="1" t="s">
        <v>50</v>
      </c>
      <c r="H19" s="3">
        <v>3412.98</v>
      </c>
      <c r="I19" s="3">
        <v>3012.65</v>
      </c>
      <c r="J19" s="3"/>
      <c r="K19" s="5">
        <v>8</v>
      </c>
      <c r="L19" s="1" t="s">
        <v>51</v>
      </c>
      <c r="M19" s="1">
        <v>10</v>
      </c>
      <c r="N19" s="1" t="s">
        <v>52</v>
      </c>
      <c r="O19" s="1">
        <v>9</v>
      </c>
      <c r="P19" s="1">
        <f t="shared" si="0"/>
        <v>0.56000000000000005</v>
      </c>
      <c r="Q19" s="3"/>
      <c r="R19" s="1" t="s">
        <v>22</v>
      </c>
    </row>
    <row r="20" spans="1:18" ht="22.5" x14ac:dyDescent="0.25">
      <c r="A20" s="1" t="s">
        <v>14</v>
      </c>
      <c r="B20" s="1" t="s">
        <v>35</v>
      </c>
      <c r="C20" s="1">
        <v>322480</v>
      </c>
      <c r="D20" s="1"/>
      <c r="E20" s="1" t="s">
        <v>28</v>
      </c>
      <c r="F20" s="1" t="s">
        <v>49</v>
      </c>
      <c r="G20" s="1" t="s">
        <v>50</v>
      </c>
      <c r="H20" s="3">
        <v>3412.98</v>
      </c>
      <c r="I20" s="3">
        <v>3012.65</v>
      </c>
      <c r="J20" s="3"/>
      <c r="K20" s="5">
        <v>8</v>
      </c>
      <c r="L20" s="1" t="s">
        <v>51</v>
      </c>
      <c r="M20" s="1">
        <v>10</v>
      </c>
      <c r="N20" s="1" t="s">
        <v>52</v>
      </c>
      <c r="O20" s="1">
        <v>9</v>
      </c>
      <c r="P20" s="1">
        <f t="shared" si="0"/>
        <v>0.56000000000000005</v>
      </c>
      <c r="Q20" s="3"/>
      <c r="R20" s="1" t="s">
        <v>22</v>
      </c>
    </row>
    <row r="21" spans="1:18" ht="22.5" x14ac:dyDescent="0.25">
      <c r="A21" s="1" t="s">
        <v>14</v>
      </c>
      <c r="B21" s="1" t="s">
        <v>35</v>
      </c>
      <c r="C21" s="1">
        <v>322481</v>
      </c>
      <c r="D21" s="1"/>
      <c r="E21" s="1" t="s">
        <v>28</v>
      </c>
      <c r="F21" s="1" t="s">
        <v>49</v>
      </c>
      <c r="G21" s="1" t="s">
        <v>50</v>
      </c>
      <c r="H21" s="3">
        <v>3412.98</v>
      </c>
      <c r="I21" s="3">
        <v>3012.65</v>
      </c>
      <c r="J21" s="3"/>
      <c r="K21" s="5">
        <v>8</v>
      </c>
      <c r="L21" s="1" t="s">
        <v>51</v>
      </c>
      <c r="M21" s="1">
        <v>10</v>
      </c>
      <c r="N21" s="1" t="s">
        <v>52</v>
      </c>
      <c r="O21" s="1">
        <v>9</v>
      </c>
      <c r="P21" s="1">
        <f t="shared" si="0"/>
        <v>0.56000000000000005</v>
      </c>
      <c r="Q21" s="3"/>
      <c r="R21" s="1" t="s">
        <v>22</v>
      </c>
    </row>
    <row r="22" spans="1:18" ht="22.5" x14ac:dyDescent="0.25">
      <c r="A22" s="1" t="s">
        <v>14</v>
      </c>
      <c r="B22" s="1" t="s">
        <v>35</v>
      </c>
      <c r="C22" s="1">
        <v>322482</v>
      </c>
      <c r="D22" s="1"/>
      <c r="E22" s="1" t="s">
        <v>28</v>
      </c>
      <c r="F22" s="1" t="s">
        <v>49</v>
      </c>
      <c r="G22" s="1" t="s">
        <v>50</v>
      </c>
      <c r="H22" s="3">
        <v>3412.98</v>
      </c>
      <c r="I22" s="3">
        <v>3012.65</v>
      </c>
      <c r="J22" s="3"/>
      <c r="K22" s="5">
        <v>8</v>
      </c>
      <c r="L22" s="1" t="s">
        <v>51</v>
      </c>
      <c r="M22" s="1">
        <v>10</v>
      </c>
      <c r="N22" s="1" t="s">
        <v>52</v>
      </c>
      <c r="O22" s="1">
        <v>9</v>
      </c>
      <c r="P22" s="1">
        <f t="shared" si="0"/>
        <v>0.56000000000000005</v>
      </c>
      <c r="Q22" s="3"/>
      <c r="R22" s="1" t="s">
        <v>22</v>
      </c>
    </row>
    <row r="23" spans="1:18" ht="22.5" x14ac:dyDescent="0.25">
      <c r="A23" s="1" t="s">
        <v>14</v>
      </c>
      <c r="B23" s="1" t="s">
        <v>35</v>
      </c>
      <c r="C23" s="1">
        <v>322483</v>
      </c>
      <c r="D23" s="1"/>
      <c r="E23" s="1" t="s">
        <v>28</v>
      </c>
      <c r="F23" s="1" t="s">
        <v>49</v>
      </c>
      <c r="G23" s="1" t="s">
        <v>50</v>
      </c>
      <c r="H23" s="3">
        <v>3412.98</v>
      </c>
      <c r="I23" s="3">
        <v>3012.65</v>
      </c>
      <c r="J23" s="3"/>
      <c r="K23" s="5">
        <v>8</v>
      </c>
      <c r="L23" s="1" t="s">
        <v>51</v>
      </c>
      <c r="M23" s="1">
        <v>10</v>
      </c>
      <c r="N23" s="1" t="s">
        <v>52</v>
      </c>
      <c r="O23" s="1">
        <v>9</v>
      </c>
      <c r="P23" s="1">
        <f t="shared" si="0"/>
        <v>0.56000000000000005</v>
      </c>
      <c r="Q23" s="3"/>
      <c r="R23" s="1" t="s">
        <v>22</v>
      </c>
    </row>
    <row r="24" spans="1:18" ht="22.5" x14ac:dyDescent="0.25">
      <c r="A24" s="1" t="s">
        <v>14</v>
      </c>
      <c r="B24" s="1" t="s">
        <v>35</v>
      </c>
      <c r="C24" s="1">
        <v>322484</v>
      </c>
      <c r="D24" s="1"/>
      <c r="E24" s="1" t="s">
        <v>28</v>
      </c>
      <c r="F24" s="1" t="s">
        <v>49</v>
      </c>
      <c r="G24" s="1" t="s">
        <v>50</v>
      </c>
      <c r="H24" s="3">
        <v>3412.98</v>
      </c>
      <c r="I24" s="3">
        <v>3012.65</v>
      </c>
      <c r="J24" s="3"/>
      <c r="K24" s="5">
        <v>8</v>
      </c>
      <c r="L24" s="1" t="s">
        <v>51</v>
      </c>
      <c r="M24" s="1">
        <v>10</v>
      </c>
      <c r="N24" s="1" t="s">
        <v>52</v>
      </c>
      <c r="O24" s="1">
        <v>9</v>
      </c>
      <c r="P24" s="1">
        <f t="shared" si="0"/>
        <v>0.56000000000000005</v>
      </c>
      <c r="Q24" s="3"/>
      <c r="R24" s="1" t="s">
        <v>22</v>
      </c>
    </row>
    <row r="25" spans="1:18" ht="22.5" x14ac:dyDescent="0.25">
      <c r="A25" s="1" t="s">
        <v>14</v>
      </c>
      <c r="B25" s="1" t="s">
        <v>35</v>
      </c>
      <c r="C25" s="1">
        <v>322485</v>
      </c>
      <c r="D25" s="1"/>
      <c r="E25" s="1" t="s">
        <v>28</v>
      </c>
      <c r="F25" s="1" t="s">
        <v>53</v>
      </c>
      <c r="G25" s="1" t="s">
        <v>50</v>
      </c>
      <c r="H25" s="3">
        <v>4765.49</v>
      </c>
      <c r="I25" s="3">
        <v>4186.71</v>
      </c>
      <c r="J25" s="3"/>
      <c r="K25" s="5">
        <v>8</v>
      </c>
      <c r="L25" s="1" t="s">
        <v>51</v>
      </c>
      <c r="M25" s="1">
        <v>10</v>
      </c>
      <c r="N25" s="1" t="s">
        <v>52</v>
      </c>
      <c r="O25" s="1">
        <v>9</v>
      </c>
      <c r="P25" s="1">
        <f t="shared" si="0"/>
        <v>0.56000000000000005</v>
      </c>
      <c r="Q25" s="3"/>
      <c r="R25" s="1" t="s">
        <v>22</v>
      </c>
    </row>
    <row r="26" spans="1:18" ht="22.5" x14ac:dyDescent="0.25">
      <c r="A26" s="1" t="s">
        <v>14</v>
      </c>
      <c r="B26" s="1" t="s">
        <v>35</v>
      </c>
      <c r="C26" s="1">
        <v>322486</v>
      </c>
      <c r="D26" s="1"/>
      <c r="E26" s="1" t="s">
        <v>28</v>
      </c>
      <c r="F26" s="1" t="s">
        <v>53</v>
      </c>
      <c r="G26" s="1" t="s">
        <v>50</v>
      </c>
      <c r="H26" s="3">
        <v>4765.49</v>
      </c>
      <c r="I26" s="3">
        <v>4186.71</v>
      </c>
      <c r="J26" s="3"/>
      <c r="K26" s="5">
        <v>8</v>
      </c>
      <c r="L26" s="1" t="s">
        <v>51</v>
      </c>
      <c r="M26" s="1">
        <v>10</v>
      </c>
      <c r="N26" s="1" t="s">
        <v>52</v>
      </c>
      <c r="O26" s="1">
        <v>9</v>
      </c>
      <c r="P26" s="1">
        <f t="shared" si="0"/>
        <v>0.56000000000000005</v>
      </c>
      <c r="Q26" s="3"/>
      <c r="R26" s="1" t="s">
        <v>22</v>
      </c>
    </row>
    <row r="27" spans="1:18" x14ac:dyDescent="0.25">
      <c r="A27" s="1" t="s">
        <v>14</v>
      </c>
      <c r="B27" s="1" t="s">
        <v>43</v>
      </c>
      <c r="C27" s="1">
        <v>345171</v>
      </c>
      <c r="D27" s="1"/>
      <c r="E27" s="1" t="s">
        <v>54</v>
      </c>
      <c r="F27" s="1" t="s">
        <v>55</v>
      </c>
      <c r="G27" s="1" t="s">
        <v>56</v>
      </c>
      <c r="H27" s="3">
        <v>307.92</v>
      </c>
      <c r="I27" s="3">
        <v>235.25</v>
      </c>
      <c r="J27" s="3"/>
      <c r="K27" s="5">
        <v>8</v>
      </c>
      <c r="L27" s="1" t="s">
        <v>20</v>
      </c>
      <c r="M27" s="1">
        <v>10</v>
      </c>
      <c r="N27" s="1" t="s">
        <v>20</v>
      </c>
      <c r="O27" s="1">
        <v>10</v>
      </c>
      <c r="P27" s="1">
        <f t="shared" si="0"/>
        <v>0.62</v>
      </c>
      <c r="Q27" s="3"/>
      <c r="R27" s="1" t="s">
        <v>22</v>
      </c>
    </row>
    <row r="28" spans="1:18" x14ac:dyDescent="0.25">
      <c r="A28" s="1" t="s">
        <v>14</v>
      </c>
      <c r="B28" s="1" t="s">
        <v>57</v>
      </c>
      <c r="C28" s="1">
        <v>348225</v>
      </c>
      <c r="D28" s="1"/>
      <c r="E28" s="1" t="s">
        <v>58</v>
      </c>
      <c r="F28" s="1" t="s">
        <v>59</v>
      </c>
      <c r="G28" s="1" t="s">
        <v>60</v>
      </c>
      <c r="H28" s="3">
        <v>4855.74</v>
      </c>
      <c r="I28" s="3">
        <v>4092.92</v>
      </c>
      <c r="J28" s="3"/>
      <c r="K28" s="5">
        <v>8</v>
      </c>
      <c r="L28" s="1" t="s">
        <v>52</v>
      </c>
      <c r="M28" s="1">
        <v>9</v>
      </c>
      <c r="N28" s="1" t="s">
        <v>51</v>
      </c>
      <c r="O28" s="1">
        <v>10</v>
      </c>
      <c r="P28" s="1">
        <f t="shared" si="0"/>
        <v>0.65</v>
      </c>
      <c r="Q28" s="3"/>
      <c r="R28" s="1" t="s">
        <v>22</v>
      </c>
    </row>
    <row r="29" spans="1:18" x14ac:dyDescent="0.25">
      <c r="A29" s="1" t="s">
        <v>14</v>
      </c>
      <c r="B29" s="1" t="s">
        <v>43</v>
      </c>
      <c r="C29" s="1">
        <v>362399</v>
      </c>
      <c r="D29" s="1"/>
      <c r="E29" s="1" t="s">
        <v>61</v>
      </c>
      <c r="F29" s="1" t="s">
        <v>62</v>
      </c>
      <c r="G29" s="1" t="s">
        <v>63</v>
      </c>
      <c r="H29" s="3">
        <v>926</v>
      </c>
      <c r="I29" s="3">
        <v>547.77</v>
      </c>
      <c r="J29" s="3"/>
      <c r="K29" s="5">
        <v>8</v>
      </c>
      <c r="L29" s="1" t="s">
        <v>52</v>
      </c>
      <c r="M29" s="1">
        <v>9</v>
      </c>
      <c r="N29" s="1" t="s">
        <v>51</v>
      </c>
      <c r="O29" s="1">
        <v>10</v>
      </c>
      <c r="P29" s="1">
        <f t="shared" si="0"/>
        <v>0.65</v>
      </c>
      <c r="Q29" s="3"/>
      <c r="R29" s="1" t="s">
        <v>22</v>
      </c>
    </row>
    <row r="30" spans="1:18" ht="22.5" x14ac:dyDescent="0.25">
      <c r="A30" s="1" t="s">
        <v>14</v>
      </c>
      <c r="B30" s="1" t="s">
        <v>35</v>
      </c>
      <c r="C30" s="1">
        <v>367674</v>
      </c>
      <c r="D30" s="1"/>
      <c r="E30" s="1" t="s">
        <v>28</v>
      </c>
      <c r="F30" s="1" t="s">
        <v>64</v>
      </c>
      <c r="G30" s="1" t="s">
        <v>65</v>
      </c>
      <c r="H30" s="3">
        <v>2631</v>
      </c>
      <c r="I30" s="3">
        <v>1614.39</v>
      </c>
      <c r="J30" s="3"/>
      <c r="K30" s="5">
        <v>8</v>
      </c>
      <c r="L30" s="1" t="s">
        <v>66</v>
      </c>
      <c r="M30" s="1">
        <v>8</v>
      </c>
      <c r="N30" s="1" t="s">
        <v>67</v>
      </c>
      <c r="O30" s="1">
        <v>10</v>
      </c>
      <c r="P30" s="1">
        <f t="shared" si="0"/>
        <v>0.68</v>
      </c>
      <c r="Q30" s="3"/>
      <c r="R30" s="1" t="s">
        <v>22</v>
      </c>
    </row>
    <row r="31" spans="1:18" x14ac:dyDescent="0.25">
      <c r="A31" s="1" t="s">
        <v>14</v>
      </c>
      <c r="B31" s="1" t="s">
        <v>68</v>
      </c>
      <c r="C31" s="1">
        <v>373253</v>
      </c>
      <c r="D31" s="1"/>
      <c r="E31" s="1" t="s">
        <v>69</v>
      </c>
      <c r="F31" s="1" t="s">
        <v>70</v>
      </c>
      <c r="G31" s="1" t="s">
        <v>71</v>
      </c>
      <c r="H31" s="3">
        <v>40675.67</v>
      </c>
      <c r="I31" s="3">
        <v>27405.56</v>
      </c>
      <c r="J31" s="3"/>
      <c r="K31" s="5">
        <v>8</v>
      </c>
      <c r="L31" s="1" t="s">
        <v>72</v>
      </c>
      <c r="M31" s="1">
        <v>7</v>
      </c>
      <c r="N31" s="1" t="s">
        <v>73</v>
      </c>
      <c r="O31" s="1">
        <v>10</v>
      </c>
      <c r="P31" s="1">
        <f t="shared" si="0"/>
        <v>0.71</v>
      </c>
      <c r="Q31" s="3"/>
      <c r="R31" s="1" t="s">
        <v>22</v>
      </c>
    </row>
    <row r="32" spans="1:18" x14ac:dyDescent="0.25">
      <c r="A32" s="1" t="s">
        <v>14</v>
      </c>
      <c r="B32" s="1" t="s">
        <v>43</v>
      </c>
      <c r="C32" s="1">
        <v>393842</v>
      </c>
      <c r="D32" s="1"/>
      <c r="E32" s="1" t="s">
        <v>74</v>
      </c>
      <c r="F32" s="1" t="s">
        <v>75</v>
      </c>
      <c r="G32" s="1" t="s">
        <v>76</v>
      </c>
      <c r="H32" s="3">
        <v>683.2</v>
      </c>
      <c r="I32" s="3">
        <v>527.04</v>
      </c>
      <c r="J32" s="3"/>
      <c r="K32" s="5">
        <v>8</v>
      </c>
      <c r="L32" s="1" t="s">
        <v>77</v>
      </c>
      <c r="M32" s="1">
        <v>5</v>
      </c>
      <c r="N32" s="1" t="s">
        <v>78</v>
      </c>
      <c r="O32" s="1">
        <v>10</v>
      </c>
      <c r="P32" s="1">
        <f t="shared" si="0"/>
        <v>0.77</v>
      </c>
      <c r="Q32" s="3"/>
      <c r="R32" s="1" t="s">
        <v>22</v>
      </c>
    </row>
    <row r="33" spans="1:18" x14ac:dyDescent="0.25">
      <c r="A33" s="14" t="s">
        <v>84</v>
      </c>
      <c r="B33" s="14"/>
      <c r="C33" s="14"/>
      <c r="D33" s="14"/>
      <c r="E33" s="14"/>
      <c r="F33" s="14"/>
      <c r="G33" s="14"/>
      <c r="H33" s="12">
        <f>SUM(H8:H32)</f>
        <v>101065.98999999999</v>
      </c>
      <c r="I33" s="4">
        <f>SUM(I8:I32)</f>
        <v>78208.01999999999</v>
      </c>
      <c r="J33" s="6"/>
      <c r="K33" s="6"/>
      <c r="L33" s="13"/>
      <c r="M33" s="13"/>
      <c r="N33" s="13"/>
      <c r="O33" s="13"/>
      <c r="P33" s="13"/>
      <c r="Q33" s="12">
        <f>SUM(Q8:Q32)</f>
        <v>0</v>
      </c>
      <c r="R33" s="13"/>
    </row>
  </sheetData>
  <mergeCells count="7">
    <mergeCell ref="A1:R1"/>
    <mergeCell ref="A33:G33"/>
    <mergeCell ref="A5:R5"/>
    <mergeCell ref="A2:R2"/>
    <mergeCell ref="A3:R3"/>
    <mergeCell ref="A4:R4"/>
    <mergeCell ref="A6:R6"/>
  </mergeCells>
  <pageMargins left="0.78740157499999996" right="0.78740157499999996" top="0.984251969" bottom="0.984251969" header="0.4921259845" footer="0.4921259845"/>
  <pageSetup paperSize="9" scale="52" fitToHeight="0" orientation="landscape" r:id="rId1"/>
  <drawing r:id="rId2"/>
  <legacyDrawing r:id="rId3"/>
  <controls>
    <mc:AlternateContent xmlns:mc="http://schemas.openxmlformats.org/markup-compatibility/2006">
      <mc:Choice Requires="x14">
        <control shapeId="1026" r:id="rId4" name="Control 2">
          <controlPr defaultSize="0" r:id="rId5">
            <anchor moveWithCells="1">
              <from>
                <xdr:col>0</xdr:col>
                <xdr:colOff>0</xdr:colOff>
                <xdr:row>6</xdr:row>
                <xdr:rowOff>0</xdr:rowOff>
              </from>
              <to>
                <xdr:col>1</xdr:col>
                <xdr:colOff>219075</xdr:colOff>
                <xdr:row>6</xdr:row>
                <xdr:rowOff>228600</xdr:rowOff>
              </to>
            </anchor>
          </controlPr>
        </control>
      </mc:Choice>
      <mc:Fallback>
        <control shapeId="1026" r:id="rId4" name="Control 2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Generico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Relatório genérico - Resultado</dc:title>
  <dc:creator>Silvano De Araujo Teixeira</dc:creator>
  <cp:lastModifiedBy>Silvano De Araujo Teixeira</cp:lastModifiedBy>
  <cp:lastPrinted>2026-04-15T17:58:08Z</cp:lastPrinted>
  <dcterms:created xsi:type="dcterms:W3CDTF">2026-04-13T14:41:53Z</dcterms:created>
  <dcterms:modified xsi:type="dcterms:W3CDTF">2026-04-16T13:08:58Z</dcterms:modified>
</cp:coreProperties>
</file>