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Generico!$A$7:$R$16</definedName>
  </definedNames>
  <calcPr calcId="152511"/>
</workbook>
</file>

<file path=xl/calcChain.xml><?xml version="1.0" encoding="utf-8"?>
<calcChain xmlns="http://schemas.openxmlformats.org/spreadsheetml/2006/main">
  <c r="Q16" i="1" l="1"/>
  <c r="J16" i="1"/>
  <c r="P9" i="1" l="1"/>
  <c r="P10" i="1"/>
  <c r="P11" i="1"/>
  <c r="P12" i="1"/>
  <c r="P13" i="1"/>
  <c r="P14" i="1"/>
  <c r="P15" i="1"/>
  <c r="P8" i="1"/>
  <c r="I16" i="1"/>
  <c r="H16" i="1"/>
</calcChain>
</file>

<file path=xl/sharedStrings.xml><?xml version="1.0" encoding="utf-8"?>
<sst xmlns="http://schemas.openxmlformats.org/spreadsheetml/2006/main" count="89" uniqueCount="49">
  <si>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</si>
  <si>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</si>
  <si>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</si>
  <si>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</si>
  <si>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</si>
  <si>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</si>
  <si>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</si>
  <si>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</si>
  <si>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</si>
  <si>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</si>
  <si>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</si>
  <si>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</si>
  <si>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</si>
  <si>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</si>
  <si>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44905210</t>
  </si>
  <si>
    <t> CAMA DE SUPINO (30116)</t>
  </si>
  <si>
    <t> PROFISICAL</t>
  </si>
  <si>
    <t> INCLINADA 45º</t>
  </si>
  <si>
    <t> 24/07/2006</t>
  </si>
  <si>
    <t> 10</t>
  </si>
  <si>
    <t> 0</t>
  </si>
  <si>
    <t> REGULAR</t>
  </si>
  <si>
    <t> MODELART</t>
  </si>
  <si>
    <t> SUPINO PLANA</t>
  </si>
  <si>
    <t> CADEIRA EXTENSORA (30123)</t>
  </si>
  <si>
    <t> PRO FITNESS</t>
  </si>
  <si>
    <t> EXTENSORA</t>
  </si>
  <si>
    <t> 13/09/2005</t>
  </si>
  <si>
    <t> MULTI EXERCITADOR (30122)</t>
  </si>
  <si>
    <t> MULTI EXERCITADOR 90º</t>
  </si>
  <si>
    <t> MÁQUINA PUXADOR PULLEY COSTAS (39450)</t>
  </si>
  <si>
    <t> PUXADOR</t>
  </si>
  <si>
    <t> MÁQUINA PEITORAL PECK DECK (39451)</t>
  </si>
  <si>
    <t> PARA HALTERE</t>
  </si>
  <si>
    <t> 19/02/2013</t>
  </si>
  <si>
    <t> BANCO FLEXOR (30125)</t>
  </si>
  <si>
    <t> FLEXORA</t>
  </si>
  <si>
    <t> EXERCITADOR</t>
  </si>
  <si>
    <t>FATOR DE REAVALIAÇÃO (FR)</t>
  </si>
  <si>
    <t>VALOR DE MERCADO (VMB)</t>
  </si>
  <si>
    <t>ESTADO DE CONSERVAÇÃO (EC)</t>
  </si>
  <si>
    <t>VALOR DO BEM REAVALIADO (VBR)</t>
  </si>
  <si>
    <t>NATUREZA DE DESPESA 44905210 - APARELHOS E EQUIPAMENTOS PARA ESPORTES E DIVERSÕES</t>
  </si>
  <si>
    <t>TOTAL=&gt;</t>
  </si>
  <si>
    <t>PORTARIA Nº   , DE  /  /2026 - COMISSÃO ESPECIAL DE REAVALIAÇÃO DE BENS MÓVEIS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</si>
  <si>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</si>
  <si>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r>
      <t xml:space="preserve"> </t>
    </r>
    <r>
      <rPr>
        <b/>
        <sz val="12"/>
        <color rgb="FFFF0000"/>
        <rFont val="Calibri"/>
        <family val="2"/>
        <scheme val="minor"/>
      </rPr>
      <t>8 BENS</t>
    </r>
  </si>
  <si>
    <t>SIGMAS - Relatório Genérico - Patrimônio</t>
  </si>
  <si>
    <t>DATA DE EMISSÃO DO RELATÓRIO: 10/4/2026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</si>
</sst>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top" wrapText="1"/>
    </xf>
    <xf numFmtId="164" fontId="21" fillId="0" borderId="10" xfId="0" applyNumberFormat="1" applyFont="1" applyBorder="1" applyAlignment="1">
      <alignment horizontal="left" vertical="top" wrapText="1"/>
    </xf>
    <xf numFmtId="0" fontId="21" fillId="0" borderId="10" xfId="0" applyNumberFormat="1" applyFont="1" applyBorder="1" applyAlignment="1">
      <alignment horizontal="left" vertical="top" wrapText="1"/>
    </xf>
    <xf numFmtId="0" fontId="22" fillId="34" borderId="10" xfId="0" applyFont="1" applyFill="1" applyBorder="1" applyAlignment="1">
      <alignment horizontal="center" wrapText="1"/>
    </xf>
    <xf numFmtId="0" fontId="23" fillId="34" borderId="10" xfId="0" applyFont="1" applyFill="1" applyBorder="1"/>
    <xf numFmtId="0" fontId="23" fillId="34" borderId="10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/>
    </xf>
    <xf numFmtId="0" fontId="22" fillId="34" borderId="12" xfId="0" applyFont="1" applyFill="1" applyBorder="1" applyAlignment="1">
      <alignment horizontal="center" wrapText="1"/>
    </xf>
    <xf numFmtId="0" fontId="22" fillId="34" borderId="13" xfId="0" applyFont="1" applyFill="1" applyBorder="1" applyAlignment="1">
      <alignment horizontal="center" wrapText="1"/>
    </xf>
    <xf numFmtId="0" fontId="22" fillId="34" borderId="14" xfId="0" applyFont="1" applyFill="1" applyBorder="1" applyAlignment="1">
      <alignment horizontal="center" wrapText="1"/>
    </xf>
    <xf numFmtId="0" fontId="25" fillId="34" borderId="12" xfId="0" applyFont="1" applyFill="1" applyBorder="1" applyAlignment="1">
      <alignment horizontal="center" wrapText="1"/>
    </xf>
    <xf numFmtId="0" fontId="25" fillId="34" borderId="13" xfId="0" applyFont="1" applyFill="1" applyBorder="1" applyAlignment="1">
      <alignment horizontal="center" wrapText="1"/>
    </xf>
    <xf numFmtId="0" fontId="25" fillId="34" borderId="14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left" vertical="center" wrapText="1"/>
    </xf>
    <xf numFmtId="164" fontId="21" fillId="0" borderId="0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164" fontId="20" fillId="33" borderId="10" xfId="0" applyNumberFormat="1" applyFont="1" applyFill="1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4330</xdr:rowOff>
        </xdr:from>
        <xdr:to>
          <xdr:col>1</xdr:col>
          <xdr:colOff>420832</xdr:colOff>
          <xdr:row>6</xdr:row>
          <xdr:rowOff>251980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16"/>
  <sheetViews>
    <sheetView showGridLines="0" tabSelected="1" zoomScale="110" zoomScaleNormal="110" workbookViewId="0">
      <selection activeCell="E21" sqref="E21"/>
    </sheetView>
  </sheetViews>
  <sheetFormatPr defaultRowHeight="15" x14ac:dyDescent="0.25"/>
  <cols>
    <col min="1" max="1" width="8.85546875" bestFit="1" customWidth="1"/>
    <col min="2" max="2" width="31.42578125" bestFit="1" customWidth="1"/>
    <col min="3" max="3" width="6.140625" bestFit="1" customWidth="1"/>
    <col min="4" max="4" width="4" bestFit="1" customWidth="1"/>
    <col min="5" max="5" width="9.85546875" bestFit="1" customWidth="1"/>
    <col min="6" max="6" width="18" bestFit="1" customWidth="1"/>
    <col min="7" max="7" width="11" customWidth="1"/>
    <col min="8" max="8" width="10.42578125" bestFit="1" customWidth="1"/>
    <col min="9" max="9" width="8.42578125" customWidth="1"/>
    <col min="10" max="10" width="12.28515625" customWidth="1"/>
    <col min="11" max="11" width="12.140625" customWidth="1"/>
    <col min="12" max="12" width="18.7109375" customWidth="1"/>
    <col min="13" max="13" width="6.42578125" customWidth="1"/>
    <col min="14" max="14" width="17.7109375" customWidth="1"/>
    <col min="15" max="15" width="6.42578125" customWidth="1"/>
    <col min="16" max="16" width="10.85546875" bestFit="1" customWidth="1"/>
    <col min="17" max="17" width="13.42578125" customWidth="1"/>
    <col min="18" max="18" width="11.28515625" customWidth="1"/>
  </cols>
  <sheetData>
    <row r="1" spans="1:18" x14ac:dyDescent="0.25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.75" x14ac:dyDescent="0.25">
      <c r="A2" s="6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5.75" x14ac:dyDescent="0.25">
      <c r="A3" s="6" t="s">
        <v>45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5.75" x14ac:dyDescent="0.25">
      <c r="A4" s="10" t="s">
        <v>42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 ht="15.75" x14ac:dyDescent="0.25">
      <c r="A5" s="8" t="s">
        <v>46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5.75" x14ac:dyDescent="0.25">
      <c r="A6" s="13" t="s">
        <v>48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</row>
    <row r="7" spans="1:18" ht="44.25" customHeight="1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39</v>
      </c>
      <c r="K7" s="2" t="s">
        <v>40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38</v>
      </c>
      <c r="Q7" s="2" t="s">
        <v>41</v>
      </c>
      <c r="R7" s="2" t="s">
        <v>13</v>
      </c>
    </row>
    <row r="8" spans="1:18" x14ac:dyDescent="0.25">
      <c r="A8" s="3" t="s">
        <v>14</v>
      </c>
      <c r="B8" s="3" t="s">
        <v>15</v>
      </c>
      <c r="C8" s="3">
        <v>362594</v>
      </c>
      <c r="D8" s="3"/>
      <c r="E8" s="3" t="s">
        <v>16</v>
      </c>
      <c r="F8" s="3" t="s">
        <v>17</v>
      </c>
      <c r="G8" s="3" t="s">
        <v>18</v>
      </c>
      <c r="H8" s="4">
        <v>405.6</v>
      </c>
      <c r="I8" s="4">
        <v>405.6</v>
      </c>
      <c r="J8" s="4"/>
      <c r="K8" s="5">
        <v>8</v>
      </c>
      <c r="L8" s="3" t="s">
        <v>19</v>
      </c>
      <c r="M8" s="3">
        <v>10</v>
      </c>
      <c r="N8" s="3" t="s">
        <v>20</v>
      </c>
      <c r="O8" s="3">
        <v>4</v>
      </c>
      <c r="P8" s="3">
        <f>(4*K8+6*O8-3*M8)/100</f>
        <v>0.26</v>
      </c>
      <c r="Q8" s="4"/>
      <c r="R8" s="3" t="s">
        <v>21</v>
      </c>
    </row>
    <row r="9" spans="1:18" x14ac:dyDescent="0.25">
      <c r="A9" s="3" t="s">
        <v>14</v>
      </c>
      <c r="B9" s="3" t="s">
        <v>15</v>
      </c>
      <c r="C9" s="3">
        <v>362595</v>
      </c>
      <c r="D9" s="3"/>
      <c r="E9" s="3" t="s">
        <v>22</v>
      </c>
      <c r="F9" s="3" t="s">
        <v>23</v>
      </c>
      <c r="G9" s="3" t="s">
        <v>18</v>
      </c>
      <c r="H9" s="4">
        <v>299</v>
      </c>
      <c r="I9" s="4">
        <v>299</v>
      </c>
      <c r="J9" s="4"/>
      <c r="K9" s="5">
        <v>8</v>
      </c>
      <c r="L9" s="3" t="s">
        <v>19</v>
      </c>
      <c r="M9" s="3">
        <v>10</v>
      </c>
      <c r="N9" s="3" t="s">
        <v>20</v>
      </c>
      <c r="O9" s="3">
        <v>4</v>
      </c>
      <c r="P9" s="3">
        <f t="shared" ref="P9:P15" si="0">(4*K9+6*O9-3*M9)/100</f>
        <v>0.26</v>
      </c>
      <c r="Q9" s="4"/>
      <c r="R9" s="3" t="s">
        <v>21</v>
      </c>
    </row>
    <row r="10" spans="1:18" x14ac:dyDescent="0.25">
      <c r="A10" s="3" t="s">
        <v>14</v>
      </c>
      <c r="B10" s="3" t="s">
        <v>24</v>
      </c>
      <c r="C10" s="3">
        <v>362604</v>
      </c>
      <c r="D10" s="3"/>
      <c r="E10" s="3" t="s">
        <v>25</v>
      </c>
      <c r="F10" s="3" t="s">
        <v>26</v>
      </c>
      <c r="G10" s="3" t="s">
        <v>27</v>
      </c>
      <c r="H10" s="4">
        <v>1053</v>
      </c>
      <c r="I10" s="4">
        <v>1053</v>
      </c>
      <c r="J10" s="4"/>
      <c r="K10" s="5">
        <v>8</v>
      </c>
      <c r="L10" s="3" t="s">
        <v>19</v>
      </c>
      <c r="M10" s="3">
        <v>10</v>
      </c>
      <c r="N10" s="3" t="s">
        <v>20</v>
      </c>
      <c r="O10" s="3">
        <v>4</v>
      </c>
      <c r="P10" s="3">
        <f t="shared" si="0"/>
        <v>0.26</v>
      </c>
      <c r="Q10" s="4"/>
      <c r="R10" s="3" t="s">
        <v>21</v>
      </c>
    </row>
    <row r="11" spans="1:18" x14ac:dyDescent="0.25">
      <c r="A11" s="3" t="s">
        <v>14</v>
      </c>
      <c r="B11" s="3" t="s">
        <v>28</v>
      </c>
      <c r="C11" s="3">
        <v>362607</v>
      </c>
      <c r="D11" s="3"/>
      <c r="E11" s="3" t="s">
        <v>25</v>
      </c>
      <c r="F11" s="3" t="s">
        <v>29</v>
      </c>
      <c r="G11" s="3" t="s">
        <v>27</v>
      </c>
      <c r="H11" s="4">
        <v>152.07</v>
      </c>
      <c r="I11" s="4">
        <v>152.07</v>
      </c>
      <c r="J11" s="4"/>
      <c r="K11" s="5">
        <v>8</v>
      </c>
      <c r="L11" s="3" t="s">
        <v>19</v>
      </c>
      <c r="M11" s="3">
        <v>10</v>
      </c>
      <c r="N11" s="3" t="s">
        <v>20</v>
      </c>
      <c r="O11" s="3">
        <v>4</v>
      </c>
      <c r="P11" s="3">
        <f t="shared" si="0"/>
        <v>0.26</v>
      </c>
      <c r="Q11" s="4"/>
      <c r="R11" s="3" t="s">
        <v>21</v>
      </c>
    </row>
    <row r="12" spans="1:18" x14ac:dyDescent="0.25">
      <c r="A12" s="3" t="s">
        <v>14</v>
      </c>
      <c r="B12" s="3" t="s">
        <v>30</v>
      </c>
      <c r="C12" s="3">
        <v>362608</v>
      </c>
      <c r="D12" s="3"/>
      <c r="E12" s="3" t="s">
        <v>25</v>
      </c>
      <c r="F12" s="3" t="s">
        <v>31</v>
      </c>
      <c r="G12" s="3" t="s">
        <v>27</v>
      </c>
      <c r="H12" s="4">
        <v>1174.1600000000001</v>
      </c>
      <c r="I12" s="4">
        <v>1174.1600000000001</v>
      </c>
      <c r="J12" s="4"/>
      <c r="K12" s="5">
        <v>8</v>
      </c>
      <c r="L12" s="3" t="s">
        <v>19</v>
      </c>
      <c r="M12" s="3">
        <v>10</v>
      </c>
      <c r="N12" s="3" t="s">
        <v>20</v>
      </c>
      <c r="O12" s="3">
        <v>4</v>
      </c>
      <c r="P12" s="3">
        <f t="shared" si="0"/>
        <v>0.26</v>
      </c>
      <c r="Q12" s="4"/>
      <c r="R12" s="3" t="s">
        <v>21</v>
      </c>
    </row>
    <row r="13" spans="1:18" x14ac:dyDescent="0.25">
      <c r="A13" s="3" t="s">
        <v>14</v>
      </c>
      <c r="B13" s="3" t="s">
        <v>32</v>
      </c>
      <c r="C13" s="3">
        <v>362609</v>
      </c>
      <c r="D13" s="3"/>
      <c r="E13" s="3" t="s">
        <v>22</v>
      </c>
      <c r="F13" s="3" t="s">
        <v>33</v>
      </c>
      <c r="G13" s="3" t="s">
        <v>34</v>
      </c>
      <c r="H13" s="4">
        <v>1482.24</v>
      </c>
      <c r="I13" s="4">
        <v>1436.88</v>
      </c>
      <c r="J13" s="4"/>
      <c r="K13" s="5">
        <v>8</v>
      </c>
      <c r="L13" s="3" t="s">
        <v>19</v>
      </c>
      <c r="M13" s="3">
        <v>10</v>
      </c>
      <c r="N13" s="3" t="s">
        <v>20</v>
      </c>
      <c r="O13" s="3">
        <v>4</v>
      </c>
      <c r="P13" s="3">
        <f t="shared" si="0"/>
        <v>0.26</v>
      </c>
      <c r="Q13" s="4"/>
      <c r="R13" s="3" t="s">
        <v>21</v>
      </c>
    </row>
    <row r="14" spans="1:18" x14ac:dyDescent="0.25">
      <c r="A14" s="3" t="s">
        <v>14</v>
      </c>
      <c r="B14" s="3" t="s">
        <v>35</v>
      </c>
      <c r="C14" s="3">
        <v>362610</v>
      </c>
      <c r="D14" s="3"/>
      <c r="E14" s="3" t="s">
        <v>25</v>
      </c>
      <c r="F14" s="3" t="s">
        <v>36</v>
      </c>
      <c r="G14" s="3" t="s">
        <v>27</v>
      </c>
      <c r="H14" s="4">
        <v>1115.4000000000001</v>
      </c>
      <c r="I14" s="4">
        <v>1115.4000000000001</v>
      </c>
      <c r="J14" s="4"/>
      <c r="K14" s="5">
        <v>8</v>
      </c>
      <c r="L14" s="3" t="s">
        <v>19</v>
      </c>
      <c r="M14" s="3">
        <v>10</v>
      </c>
      <c r="N14" s="3" t="s">
        <v>20</v>
      </c>
      <c r="O14" s="3">
        <v>4</v>
      </c>
      <c r="P14" s="3">
        <f t="shared" si="0"/>
        <v>0.26</v>
      </c>
      <c r="Q14" s="4"/>
      <c r="R14" s="3" t="s">
        <v>21</v>
      </c>
    </row>
    <row r="15" spans="1:18" x14ac:dyDescent="0.25">
      <c r="A15" s="3" t="s">
        <v>14</v>
      </c>
      <c r="B15" s="3" t="s">
        <v>28</v>
      </c>
      <c r="C15" s="3">
        <v>362615</v>
      </c>
      <c r="D15" s="3"/>
      <c r="E15" s="3" t="s">
        <v>25</v>
      </c>
      <c r="F15" s="3" t="s">
        <v>37</v>
      </c>
      <c r="G15" s="3" t="s">
        <v>27</v>
      </c>
      <c r="H15" s="4">
        <v>358.54</v>
      </c>
      <c r="I15" s="4">
        <v>358.54</v>
      </c>
      <c r="J15" s="4"/>
      <c r="K15" s="5">
        <v>8</v>
      </c>
      <c r="L15" s="3" t="s">
        <v>19</v>
      </c>
      <c r="M15" s="3">
        <v>10</v>
      </c>
      <c r="N15" s="3" t="s">
        <v>20</v>
      </c>
      <c r="O15" s="3">
        <v>4</v>
      </c>
      <c r="P15" s="3">
        <f t="shared" si="0"/>
        <v>0.26</v>
      </c>
      <c r="Q15" s="4"/>
      <c r="R15" s="3" t="s">
        <v>21</v>
      </c>
    </row>
    <row r="16" spans="1:18" x14ac:dyDescent="0.25">
      <c r="A16" s="16" t="s">
        <v>43</v>
      </c>
      <c r="B16" s="16"/>
      <c r="C16" s="16"/>
      <c r="D16" s="16"/>
      <c r="E16" s="16"/>
      <c r="F16" s="16"/>
      <c r="G16" s="16"/>
      <c r="H16" s="17">
        <f>SUM(H8:H15)</f>
        <v>6040.0099999999993</v>
      </c>
      <c r="I16" s="17">
        <f>SUM(I8:I15)</f>
        <v>5994.6500000000005</v>
      </c>
      <c r="J16" s="17">
        <f>SUM(J8:J15)</f>
        <v>0</v>
      </c>
      <c r="K16" s="18"/>
      <c r="L16" s="19"/>
      <c r="M16" s="19"/>
      <c r="N16" s="19"/>
      <c r="O16" s="19"/>
      <c r="P16" s="19"/>
      <c r="Q16" s="20">
        <f>SUM(Q8:Q15)</f>
        <v>0</v>
      </c>
      <c r="R16" s="1"/>
    </row>
  </sheetData>
  <mergeCells count="7">
    <mergeCell ref="A16:G16"/>
    <mergeCell ref="A2:R2"/>
    <mergeCell ref="A3:R3"/>
    <mergeCell ref="A5:R5"/>
    <mergeCell ref="A1:R1"/>
    <mergeCell ref="A4:R4"/>
    <mergeCell ref="A6:R6"/>
  </mergeCells>
  <pageMargins left="0.78740157499999996" right="0.78740157499999996" top="0.984251969" bottom="0.984251969" header="0.4921259845" footer="0.4921259845"/>
  <pageSetup paperSize="9" scale="5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419100</xdr:colOff>
                <xdr:row>6</xdr:row>
                <xdr:rowOff>247650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2026-04-15T17:55:40Z</cp:lastPrinted>
  <dcterms:created xsi:type="dcterms:W3CDTF">2026-04-09T15:22:47Z</dcterms:created>
  <dcterms:modified xsi:type="dcterms:W3CDTF">2026-04-15T17:56:50Z</dcterms:modified>
</cp:coreProperties>
</file>