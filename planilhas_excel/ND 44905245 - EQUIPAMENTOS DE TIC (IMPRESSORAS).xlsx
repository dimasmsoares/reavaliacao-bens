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P_8235\Desktop\COMISSÃO DE AVALIAÇÃO 2026\"/>
    </mc:Choice>
  </mc:AlternateContent>
  <bookViews>
    <workbookView xWindow="0" yWindow="0" windowWidth="28800" windowHeight="12015"/>
  </bookViews>
  <sheets>
    <sheet name="Generico" sheetId="1" r:id="rId1"/>
  </sheets>
  <definedNames>
    <definedName name="_xlnm._FilterDatabase" localSheetId="0" hidden="1">Generico!$A$7:$R$7</definedName>
  </definedNames>
  <calcPr calcId="152511"/>
</workbook>
</file>

<file path=xl/calcChain.xml><?xml version="1.0" encoding="utf-8"?>
<calcChain xmlns="http://schemas.openxmlformats.org/spreadsheetml/2006/main">
  <c r="Q58" i="1" l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8" i="1"/>
  <c r="I58" i="1"/>
  <c r="H58" i="1"/>
</calcChain>
</file>

<file path=xl/sharedStrings.xml><?xml version="1.0" encoding="utf-8"?>
<sst xmlns="http://schemas.openxmlformats.org/spreadsheetml/2006/main" count="425" uniqueCount="41">
  <si>
    <t>Natureza de Despesa</t>
  </si>
  <si>
    <t>Material</t>
  </si>
  <si>
    <t>NRP</t>
  </si>
  <si>
    <t>TIPO</t>
  </si>
  <si>
    <t>Marca</t>
  </si>
  <si>
    <t>Modelo</t>
  </si>
  <si>
    <t>Data de Tombamento</t>
  </si>
  <si>
    <t>Valor Contabil</t>
  </si>
  <si>
    <t>Valor Atual</t>
  </si>
  <si>
    <t>PUB (PERÍODO DE UTILIZAÇÃO DO BEM – DECORRIDO - Anos</t>
  </si>
  <si>
    <t>FATOR PUB</t>
  </si>
  <si>
    <t>PVU (PERÍODO DE VIDA ÚTIL – REMANESCENTE - Anos)</t>
  </si>
  <si>
    <t>FATOR PVU</t>
  </si>
  <si>
    <t>Situação do Bem</t>
  </si>
  <si>
    <t> 44905245</t>
  </si>
  <si>
    <t> LEITOR DE CÓDIGO DE BARRAS (31955)</t>
  </si>
  <si>
    <t> BARCODETECH</t>
  </si>
  <si>
    <t> BT-700</t>
  </si>
  <si>
    <t> 10/10/2018</t>
  </si>
  <si>
    <t> 5</t>
  </si>
  <si>
    <t> 0</t>
  </si>
  <si>
    <t> REGULAR</t>
  </si>
  <si>
    <t> IMPRESSORA DE ETIQUETAS (37706)</t>
  </si>
  <si>
    <t> ZEBRA</t>
  </si>
  <si>
    <t> ZT230 43-T0A000FZ</t>
  </si>
  <si>
    <t> 22/07/2020</t>
  </si>
  <si>
    <t> IMPRESSORA TÉRMICA (37707)</t>
  </si>
  <si>
    <t> ELGIN</t>
  </si>
  <si>
    <t> L42 PRO</t>
  </si>
  <si>
    <t> 13/08/2020</t>
  </si>
  <si>
    <t>PORTARIA Nº   , DE  /  /2026 - COMISSÃO ESPECIAL DE REAVALIAÇÃO DE BENS MÓVEIS</t>
  </si>
  <si>
    <t>SIGMAS - Relatório Genérico - Patrimônio</t>
  </si>
  <si>
    <r>
      <t xml:space="preserve">Servidor: </t>
    </r>
    <r>
      <rPr>
        <b/>
        <sz val="12"/>
        <color rgb="FF008000"/>
        <rFont val="Calibri"/>
        <family val="2"/>
        <scheme val="minor"/>
      </rPr>
      <t>Silvano De Araujo Teixeira</t>
    </r>
    <r>
      <rPr>
        <b/>
        <sz val="12"/>
        <color theme="1"/>
        <rFont val="Calibri"/>
        <family val="2"/>
        <scheme val="minor"/>
      </rPr>
      <t xml:space="preserve"> - Ponto: </t>
    </r>
    <r>
      <rPr>
        <b/>
        <sz val="12"/>
        <color rgb="FF008000"/>
        <rFont val="Calibri"/>
        <family val="2"/>
        <scheme val="minor"/>
      </rPr>
      <t>P_8235</t>
    </r>
  </si>
  <si>
    <t>NATUREZA DE DESPESA 44905245 - EQUIPAMENTOS DE TIC (IMPRESSORAS)</t>
  </si>
  <si>
    <t>DATA DE EMISSÃO DO RELATÓRIO: 10/4/2026</t>
  </si>
  <si>
    <r>
      <t xml:space="preserve"> </t>
    </r>
    <r>
      <rPr>
        <b/>
        <sz val="12"/>
        <color rgb="FFFF0000"/>
        <rFont val="Calibri"/>
        <family val="2"/>
        <scheme val="minor"/>
      </rPr>
      <t>50 BENS</t>
    </r>
  </si>
  <si>
    <t>TOTAL=&gt;</t>
  </si>
  <si>
    <t>VALOR DE MERCADO (VMB)</t>
  </si>
  <si>
    <t>ESTADO DE CONSERVAÇÃO (EC)</t>
  </si>
  <si>
    <t>FATOR DE REAVALIAÇÃO (FR)</t>
  </si>
  <si>
    <t>VALOR DO BEM REAVALIADO (VBR)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</si>
</sst>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/>
    <xf numFmtId="0" fontId="23" fillId="0" borderId="10" xfId="0" applyFont="1" applyBorder="1" applyAlignment="1">
      <alignment horizontal="left" vertical="top" wrapText="1"/>
    </xf>
    <xf numFmtId="0" fontId="23" fillId="0" borderId="10" xfId="0" applyFont="1" applyBorder="1" applyAlignment="1">
      <alignment horizontal="left" vertical="center" wrapText="1"/>
    </xf>
    <xf numFmtId="164" fontId="23" fillId="0" borderId="10" xfId="0" applyNumberFormat="1" applyFont="1" applyBorder="1" applyAlignment="1">
      <alignment horizontal="left" vertical="center" wrapText="1"/>
    </xf>
    <xf numFmtId="0" fontId="22" fillId="34" borderId="10" xfId="0" applyFont="1" applyFill="1" applyBorder="1" applyAlignment="1">
      <alignment horizontal="left" vertical="center" wrapText="1"/>
    </xf>
    <xf numFmtId="0" fontId="23" fillId="0" borderId="10" xfId="0" applyNumberFormat="1" applyFont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center" wrapText="1"/>
    </xf>
    <xf numFmtId="0" fontId="16" fillId="33" borderId="10" xfId="0" applyFont="1" applyFill="1" applyBorder="1" applyAlignment="1">
      <alignment horizontal="center"/>
    </xf>
    <xf numFmtId="0" fontId="19" fillId="33" borderId="10" xfId="0" applyFont="1" applyFill="1" applyBorder="1"/>
    <xf numFmtId="0" fontId="21" fillId="33" borderId="10" xfId="0" applyFont="1" applyFill="1" applyBorder="1" applyAlignment="1">
      <alignment horizontal="center" wrapText="1"/>
    </xf>
    <xf numFmtId="0" fontId="22" fillId="34" borderId="10" xfId="0" applyFont="1" applyFill="1" applyBorder="1" applyAlignment="1">
      <alignment horizontal="center" vertical="center"/>
    </xf>
    <xf numFmtId="164" fontId="22" fillId="34" borderId="10" xfId="0" applyNumberFormat="1" applyFont="1" applyFill="1" applyBorder="1" applyAlignment="1">
      <alignment horizontal="left" vertical="center"/>
    </xf>
    <xf numFmtId="164" fontId="22" fillId="0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1</xdr:col>
          <xdr:colOff>323850</xdr:colOff>
          <xdr:row>6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pageSetUpPr fitToPage="1"/>
  </sheetPr>
  <dimension ref="A1:R58"/>
  <sheetViews>
    <sheetView showGridLines="0" tabSelected="1" workbookViewId="0">
      <selection activeCell="G63" sqref="G63"/>
    </sheetView>
  </sheetViews>
  <sheetFormatPr defaultRowHeight="15" x14ac:dyDescent="0.25"/>
  <cols>
    <col min="1" max="1" width="8.85546875" bestFit="1" customWidth="1"/>
    <col min="2" max="2" width="26.5703125" bestFit="1" customWidth="1"/>
    <col min="3" max="3" width="6.140625" bestFit="1" customWidth="1"/>
    <col min="4" max="4" width="4" bestFit="1" customWidth="1"/>
    <col min="5" max="5" width="10.7109375" bestFit="1" customWidth="1"/>
    <col min="6" max="6" width="14.28515625" bestFit="1" customWidth="1"/>
    <col min="7" max="7" width="10.7109375" customWidth="1"/>
    <col min="8" max="8" width="10.7109375" style="1" bestFit="1" customWidth="1"/>
    <col min="9" max="9" width="9.85546875" style="1" bestFit="1" customWidth="1"/>
    <col min="10" max="10" width="15" style="1" customWidth="1"/>
    <col min="11" max="11" width="11" style="1" bestFit="1" customWidth="1"/>
    <col min="12" max="12" width="15.5703125" bestFit="1" customWidth="1"/>
    <col min="13" max="13" width="5" style="1" customWidth="1"/>
    <col min="14" max="14" width="23.140625" customWidth="1"/>
    <col min="15" max="15" width="6.5703125" style="1" customWidth="1"/>
    <col min="16" max="16" width="12.28515625" style="1" customWidth="1"/>
    <col min="17" max="17" width="13.5703125" style="1" customWidth="1"/>
    <col min="18" max="18" width="8.85546875" customWidth="1"/>
  </cols>
  <sheetData>
    <row r="1" spans="1:18" x14ac:dyDescent="0.25">
      <c r="A1" s="8" t="s">
        <v>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5.75" x14ac:dyDescent="0.25">
      <c r="A2" s="7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5.75" x14ac:dyDescent="0.25">
      <c r="A3" s="7" t="s">
        <v>32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5.75" x14ac:dyDescent="0.25">
      <c r="A4" s="7" t="s">
        <v>33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15.75" x14ac:dyDescent="0.25">
      <c r="A5" s="7" t="s">
        <v>35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15.75" x14ac:dyDescent="0.25">
      <c r="A6" s="10" t="s">
        <v>34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ht="33.75" x14ac:dyDescent="0.25">
      <c r="A7" s="5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37</v>
      </c>
      <c r="K7" s="5" t="s">
        <v>38</v>
      </c>
      <c r="L7" s="5" t="s">
        <v>9</v>
      </c>
      <c r="M7" s="5" t="s">
        <v>10</v>
      </c>
      <c r="N7" s="5" t="s">
        <v>11</v>
      </c>
      <c r="O7" s="5" t="s">
        <v>12</v>
      </c>
      <c r="P7" s="5" t="s">
        <v>39</v>
      </c>
      <c r="Q7" s="5" t="s">
        <v>40</v>
      </c>
      <c r="R7" s="5" t="s">
        <v>13</v>
      </c>
    </row>
    <row r="8" spans="1:18" x14ac:dyDescent="0.25">
      <c r="A8" s="3" t="s">
        <v>14</v>
      </c>
      <c r="B8" s="3" t="s">
        <v>15</v>
      </c>
      <c r="C8" s="3">
        <v>373047</v>
      </c>
      <c r="D8" s="3"/>
      <c r="E8" s="3" t="s">
        <v>16</v>
      </c>
      <c r="F8" s="3" t="s">
        <v>17</v>
      </c>
      <c r="G8" s="3" t="s">
        <v>18</v>
      </c>
      <c r="H8" s="4">
        <v>142</v>
      </c>
      <c r="I8" s="4">
        <v>14.2</v>
      </c>
      <c r="J8" s="4"/>
      <c r="K8" s="6">
        <v>8</v>
      </c>
      <c r="L8" s="3" t="s">
        <v>19</v>
      </c>
      <c r="M8" s="3">
        <v>5</v>
      </c>
      <c r="N8" s="3" t="s">
        <v>20</v>
      </c>
      <c r="O8" s="3">
        <v>4</v>
      </c>
      <c r="P8" s="2">
        <f>(4*K8+6*O8-3*M8)/100</f>
        <v>0.41</v>
      </c>
      <c r="Q8" s="4"/>
      <c r="R8" s="3" t="s">
        <v>21</v>
      </c>
    </row>
    <row r="9" spans="1:18" x14ac:dyDescent="0.25">
      <c r="A9" s="3" t="s">
        <v>14</v>
      </c>
      <c r="B9" s="3" t="s">
        <v>15</v>
      </c>
      <c r="C9" s="3">
        <v>373048</v>
      </c>
      <c r="D9" s="3"/>
      <c r="E9" s="3" t="s">
        <v>16</v>
      </c>
      <c r="F9" s="3" t="s">
        <v>17</v>
      </c>
      <c r="G9" s="3" t="s">
        <v>18</v>
      </c>
      <c r="H9" s="4">
        <v>142</v>
      </c>
      <c r="I9" s="4">
        <v>14.2</v>
      </c>
      <c r="J9" s="4"/>
      <c r="K9" s="6">
        <v>8</v>
      </c>
      <c r="L9" s="3" t="s">
        <v>19</v>
      </c>
      <c r="M9" s="3">
        <v>5</v>
      </c>
      <c r="N9" s="3" t="s">
        <v>20</v>
      </c>
      <c r="O9" s="3">
        <v>4</v>
      </c>
      <c r="P9" s="2">
        <f t="shared" ref="P9:P57" si="0">(4*K9+6*O9-3*M9)/100</f>
        <v>0.41</v>
      </c>
      <c r="Q9" s="4"/>
      <c r="R9" s="3" t="s">
        <v>21</v>
      </c>
    </row>
    <row r="10" spans="1:18" x14ac:dyDescent="0.25">
      <c r="A10" s="3" t="s">
        <v>14</v>
      </c>
      <c r="B10" s="3" t="s">
        <v>15</v>
      </c>
      <c r="C10" s="3">
        <v>373053</v>
      </c>
      <c r="D10" s="3"/>
      <c r="E10" s="3" t="s">
        <v>16</v>
      </c>
      <c r="F10" s="3" t="s">
        <v>17</v>
      </c>
      <c r="G10" s="3" t="s">
        <v>18</v>
      </c>
      <c r="H10" s="4">
        <v>142</v>
      </c>
      <c r="I10" s="4">
        <v>14.2</v>
      </c>
      <c r="J10" s="4"/>
      <c r="K10" s="6">
        <v>8</v>
      </c>
      <c r="L10" s="3" t="s">
        <v>19</v>
      </c>
      <c r="M10" s="3">
        <v>5</v>
      </c>
      <c r="N10" s="3" t="s">
        <v>20</v>
      </c>
      <c r="O10" s="3">
        <v>4</v>
      </c>
      <c r="P10" s="2">
        <f t="shared" si="0"/>
        <v>0.41</v>
      </c>
      <c r="Q10" s="4"/>
      <c r="R10" s="3" t="s">
        <v>21</v>
      </c>
    </row>
    <row r="11" spans="1:18" x14ac:dyDescent="0.25">
      <c r="A11" s="3" t="s">
        <v>14</v>
      </c>
      <c r="B11" s="3" t="s">
        <v>15</v>
      </c>
      <c r="C11" s="3">
        <v>373056</v>
      </c>
      <c r="D11" s="3"/>
      <c r="E11" s="3" t="s">
        <v>16</v>
      </c>
      <c r="F11" s="3" t="s">
        <v>17</v>
      </c>
      <c r="G11" s="3" t="s">
        <v>18</v>
      </c>
      <c r="H11" s="4">
        <v>142</v>
      </c>
      <c r="I11" s="4">
        <v>14.2</v>
      </c>
      <c r="J11" s="4"/>
      <c r="K11" s="6">
        <v>8</v>
      </c>
      <c r="L11" s="3" t="s">
        <v>19</v>
      </c>
      <c r="M11" s="3">
        <v>5</v>
      </c>
      <c r="N11" s="3" t="s">
        <v>20</v>
      </c>
      <c r="O11" s="3">
        <v>4</v>
      </c>
      <c r="P11" s="2">
        <f t="shared" si="0"/>
        <v>0.41</v>
      </c>
      <c r="Q11" s="4"/>
      <c r="R11" s="3" t="s">
        <v>21</v>
      </c>
    </row>
    <row r="12" spans="1:18" x14ac:dyDescent="0.25">
      <c r="A12" s="3" t="s">
        <v>14</v>
      </c>
      <c r="B12" s="3" t="s">
        <v>15</v>
      </c>
      <c r="C12" s="3">
        <v>373059</v>
      </c>
      <c r="D12" s="3"/>
      <c r="E12" s="3" t="s">
        <v>16</v>
      </c>
      <c r="F12" s="3" t="s">
        <v>17</v>
      </c>
      <c r="G12" s="3" t="s">
        <v>18</v>
      </c>
      <c r="H12" s="4">
        <v>142</v>
      </c>
      <c r="I12" s="4">
        <v>14.2</v>
      </c>
      <c r="J12" s="4"/>
      <c r="K12" s="6">
        <v>8</v>
      </c>
      <c r="L12" s="3" t="s">
        <v>19</v>
      </c>
      <c r="M12" s="3">
        <v>5</v>
      </c>
      <c r="N12" s="3" t="s">
        <v>20</v>
      </c>
      <c r="O12" s="3">
        <v>4</v>
      </c>
      <c r="P12" s="2">
        <f t="shared" si="0"/>
        <v>0.41</v>
      </c>
      <c r="Q12" s="4"/>
      <c r="R12" s="3" t="s">
        <v>21</v>
      </c>
    </row>
    <row r="13" spans="1:18" x14ac:dyDescent="0.25">
      <c r="A13" s="3" t="s">
        <v>14</v>
      </c>
      <c r="B13" s="3" t="s">
        <v>15</v>
      </c>
      <c r="C13" s="3">
        <v>373061</v>
      </c>
      <c r="D13" s="3"/>
      <c r="E13" s="3" t="s">
        <v>16</v>
      </c>
      <c r="F13" s="3" t="s">
        <v>17</v>
      </c>
      <c r="G13" s="3" t="s">
        <v>18</v>
      </c>
      <c r="H13" s="4">
        <v>142</v>
      </c>
      <c r="I13" s="4">
        <v>14.2</v>
      </c>
      <c r="J13" s="4"/>
      <c r="K13" s="6">
        <v>8</v>
      </c>
      <c r="L13" s="3" t="s">
        <v>19</v>
      </c>
      <c r="M13" s="3">
        <v>5</v>
      </c>
      <c r="N13" s="3" t="s">
        <v>20</v>
      </c>
      <c r="O13" s="3">
        <v>4</v>
      </c>
      <c r="P13" s="2">
        <f t="shared" si="0"/>
        <v>0.41</v>
      </c>
      <c r="Q13" s="4"/>
      <c r="R13" s="3" t="s">
        <v>21</v>
      </c>
    </row>
    <row r="14" spans="1:18" x14ac:dyDescent="0.25">
      <c r="A14" s="3" t="s">
        <v>14</v>
      </c>
      <c r="B14" s="3" t="s">
        <v>15</v>
      </c>
      <c r="C14" s="3">
        <v>373063</v>
      </c>
      <c r="D14" s="3"/>
      <c r="E14" s="3" t="s">
        <v>16</v>
      </c>
      <c r="F14" s="3" t="s">
        <v>17</v>
      </c>
      <c r="G14" s="3" t="s">
        <v>18</v>
      </c>
      <c r="H14" s="4">
        <v>142</v>
      </c>
      <c r="I14" s="4">
        <v>14.2</v>
      </c>
      <c r="J14" s="4"/>
      <c r="K14" s="6">
        <v>8</v>
      </c>
      <c r="L14" s="3" t="s">
        <v>19</v>
      </c>
      <c r="M14" s="3">
        <v>5</v>
      </c>
      <c r="N14" s="3" t="s">
        <v>20</v>
      </c>
      <c r="O14" s="3">
        <v>4</v>
      </c>
      <c r="P14" s="2">
        <f t="shared" si="0"/>
        <v>0.41</v>
      </c>
      <c r="Q14" s="4"/>
      <c r="R14" s="3" t="s">
        <v>21</v>
      </c>
    </row>
    <row r="15" spans="1:18" x14ac:dyDescent="0.25">
      <c r="A15" s="3" t="s">
        <v>14</v>
      </c>
      <c r="B15" s="3" t="s">
        <v>15</v>
      </c>
      <c r="C15" s="3">
        <v>373064</v>
      </c>
      <c r="D15" s="3"/>
      <c r="E15" s="3" t="s">
        <v>16</v>
      </c>
      <c r="F15" s="3" t="s">
        <v>17</v>
      </c>
      <c r="G15" s="3" t="s">
        <v>18</v>
      </c>
      <c r="H15" s="4">
        <v>142</v>
      </c>
      <c r="I15" s="4">
        <v>14.2</v>
      </c>
      <c r="J15" s="4"/>
      <c r="K15" s="6">
        <v>8</v>
      </c>
      <c r="L15" s="3" t="s">
        <v>19</v>
      </c>
      <c r="M15" s="3">
        <v>5</v>
      </c>
      <c r="N15" s="3" t="s">
        <v>20</v>
      </c>
      <c r="O15" s="3">
        <v>4</v>
      </c>
      <c r="P15" s="2">
        <f t="shared" si="0"/>
        <v>0.41</v>
      </c>
      <c r="Q15" s="4"/>
      <c r="R15" s="3" t="s">
        <v>21</v>
      </c>
    </row>
    <row r="16" spans="1:18" x14ac:dyDescent="0.25">
      <c r="A16" s="3" t="s">
        <v>14</v>
      </c>
      <c r="B16" s="3" t="s">
        <v>15</v>
      </c>
      <c r="C16" s="3">
        <v>373065</v>
      </c>
      <c r="D16" s="3"/>
      <c r="E16" s="3" t="s">
        <v>16</v>
      </c>
      <c r="F16" s="3" t="s">
        <v>17</v>
      </c>
      <c r="G16" s="3" t="s">
        <v>18</v>
      </c>
      <c r="H16" s="4">
        <v>142</v>
      </c>
      <c r="I16" s="4">
        <v>14.2</v>
      </c>
      <c r="J16" s="4"/>
      <c r="K16" s="6">
        <v>8</v>
      </c>
      <c r="L16" s="3" t="s">
        <v>19</v>
      </c>
      <c r="M16" s="3">
        <v>5</v>
      </c>
      <c r="N16" s="3" t="s">
        <v>20</v>
      </c>
      <c r="O16" s="3">
        <v>4</v>
      </c>
      <c r="P16" s="2">
        <f t="shared" si="0"/>
        <v>0.41</v>
      </c>
      <c r="Q16" s="4"/>
      <c r="R16" s="3" t="s">
        <v>21</v>
      </c>
    </row>
    <row r="17" spans="1:18" x14ac:dyDescent="0.25">
      <c r="A17" s="3" t="s">
        <v>14</v>
      </c>
      <c r="B17" s="3" t="s">
        <v>15</v>
      </c>
      <c r="C17" s="3">
        <v>373070</v>
      </c>
      <c r="D17" s="3"/>
      <c r="E17" s="3" t="s">
        <v>16</v>
      </c>
      <c r="F17" s="3" t="s">
        <v>17</v>
      </c>
      <c r="G17" s="3" t="s">
        <v>18</v>
      </c>
      <c r="H17" s="4">
        <v>142</v>
      </c>
      <c r="I17" s="4">
        <v>14.2</v>
      </c>
      <c r="J17" s="4"/>
      <c r="K17" s="6">
        <v>8</v>
      </c>
      <c r="L17" s="3" t="s">
        <v>19</v>
      </c>
      <c r="M17" s="3">
        <v>5</v>
      </c>
      <c r="N17" s="3" t="s">
        <v>20</v>
      </c>
      <c r="O17" s="3">
        <v>4</v>
      </c>
      <c r="P17" s="2">
        <f t="shared" si="0"/>
        <v>0.41</v>
      </c>
      <c r="Q17" s="4"/>
      <c r="R17" s="3" t="s">
        <v>21</v>
      </c>
    </row>
    <row r="18" spans="1:18" x14ac:dyDescent="0.25">
      <c r="A18" s="3" t="s">
        <v>14</v>
      </c>
      <c r="B18" s="3" t="s">
        <v>15</v>
      </c>
      <c r="C18" s="3">
        <v>373071</v>
      </c>
      <c r="D18" s="3"/>
      <c r="E18" s="3" t="s">
        <v>16</v>
      </c>
      <c r="F18" s="3" t="s">
        <v>17</v>
      </c>
      <c r="G18" s="3" t="s">
        <v>18</v>
      </c>
      <c r="H18" s="4">
        <v>142</v>
      </c>
      <c r="I18" s="4">
        <v>14.2</v>
      </c>
      <c r="J18" s="4"/>
      <c r="K18" s="6">
        <v>8</v>
      </c>
      <c r="L18" s="3" t="s">
        <v>19</v>
      </c>
      <c r="M18" s="3">
        <v>5</v>
      </c>
      <c r="N18" s="3" t="s">
        <v>20</v>
      </c>
      <c r="O18" s="3">
        <v>4</v>
      </c>
      <c r="P18" s="2">
        <f t="shared" si="0"/>
        <v>0.41</v>
      </c>
      <c r="Q18" s="4"/>
      <c r="R18" s="3" t="s">
        <v>21</v>
      </c>
    </row>
    <row r="19" spans="1:18" x14ac:dyDescent="0.25">
      <c r="A19" s="3" t="s">
        <v>14</v>
      </c>
      <c r="B19" s="3" t="s">
        <v>15</v>
      </c>
      <c r="C19" s="3">
        <v>373072</v>
      </c>
      <c r="D19" s="3"/>
      <c r="E19" s="3" t="s">
        <v>16</v>
      </c>
      <c r="F19" s="3" t="s">
        <v>17</v>
      </c>
      <c r="G19" s="3" t="s">
        <v>18</v>
      </c>
      <c r="H19" s="4">
        <v>142</v>
      </c>
      <c r="I19" s="4">
        <v>14.2</v>
      </c>
      <c r="J19" s="4"/>
      <c r="K19" s="6">
        <v>8</v>
      </c>
      <c r="L19" s="3" t="s">
        <v>19</v>
      </c>
      <c r="M19" s="3">
        <v>5</v>
      </c>
      <c r="N19" s="3" t="s">
        <v>20</v>
      </c>
      <c r="O19" s="3">
        <v>4</v>
      </c>
      <c r="P19" s="2">
        <f t="shared" si="0"/>
        <v>0.41</v>
      </c>
      <c r="Q19" s="4"/>
      <c r="R19" s="3" t="s">
        <v>21</v>
      </c>
    </row>
    <row r="20" spans="1:18" x14ac:dyDescent="0.25">
      <c r="A20" s="3" t="s">
        <v>14</v>
      </c>
      <c r="B20" s="3" t="s">
        <v>15</v>
      </c>
      <c r="C20" s="3">
        <v>373074</v>
      </c>
      <c r="D20" s="3"/>
      <c r="E20" s="3" t="s">
        <v>16</v>
      </c>
      <c r="F20" s="3" t="s">
        <v>17</v>
      </c>
      <c r="G20" s="3" t="s">
        <v>18</v>
      </c>
      <c r="H20" s="4">
        <v>142</v>
      </c>
      <c r="I20" s="4">
        <v>14.2</v>
      </c>
      <c r="J20" s="4"/>
      <c r="K20" s="6">
        <v>8</v>
      </c>
      <c r="L20" s="3" t="s">
        <v>19</v>
      </c>
      <c r="M20" s="3">
        <v>5</v>
      </c>
      <c r="N20" s="3" t="s">
        <v>20</v>
      </c>
      <c r="O20" s="3">
        <v>4</v>
      </c>
      <c r="P20" s="2">
        <f t="shared" si="0"/>
        <v>0.41</v>
      </c>
      <c r="Q20" s="4"/>
      <c r="R20" s="3" t="s">
        <v>21</v>
      </c>
    </row>
    <row r="21" spans="1:18" x14ac:dyDescent="0.25">
      <c r="A21" s="3" t="s">
        <v>14</v>
      </c>
      <c r="B21" s="3" t="s">
        <v>15</v>
      </c>
      <c r="C21" s="3">
        <v>373076</v>
      </c>
      <c r="D21" s="3"/>
      <c r="E21" s="3" t="s">
        <v>16</v>
      </c>
      <c r="F21" s="3" t="s">
        <v>17</v>
      </c>
      <c r="G21" s="3" t="s">
        <v>18</v>
      </c>
      <c r="H21" s="4">
        <v>142</v>
      </c>
      <c r="I21" s="4">
        <v>14.2</v>
      </c>
      <c r="J21" s="4"/>
      <c r="K21" s="6">
        <v>8</v>
      </c>
      <c r="L21" s="3" t="s">
        <v>19</v>
      </c>
      <c r="M21" s="3">
        <v>5</v>
      </c>
      <c r="N21" s="3" t="s">
        <v>20</v>
      </c>
      <c r="O21" s="3">
        <v>4</v>
      </c>
      <c r="P21" s="2">
        <f t="shared" si="0"/>
        <v>0.41</v>
      </c>
      <c r="Q21" s="4"/>
      <c r="R21" s="3" t="s">
        <v>21</v>
      </c>
    </row>
    <row r="22" spans="1:18" x14ac:dyDescent="0.25">
      <c r="A22" s="3" t="s">
        <v>14</v>
      </c>
      <c r="B22" s="3" t="s">
        <v>15</v>
      </c>
      <c r="C22" s="3">
        <v>373077</v>
      </c>
      <c r="D22" s="3"/>
      <c r="E22" s="3" t="s">
        <v>16</v>
      </c>
      <c r="F22" s="3" t="s">
        <v>17</v>
      </c>
      <c r="G22" s="3" t="s">
        <v>18</v>
      </c>
      <c r="H22" s="4">
        <v>142</v>
      </c>
      <c r="I22" s="4">
        <v>14.2</v>
      </c>
      <c r="J22" s="4"/>
      <c r="K22" s="6">
        <v>8</v>
      </c>
      <c r="L22" s="3" t="s">
        <v>19</v>
      </c>
      <c r="M22" s="3">
        <v>5</v>
      </c>
      <c r="N22" s="3" t="s">
        <v>20</v>
      </c>
      <c r="O22" s="3">
        <v>4</v>
      </c>
      <c r="P22" s="2">
        <f t="shared" si="0"/>
        <v>0.41</v>
      </c>
      <c r="Q22" s="4"/>
      <c r="R22" s="3" t="s">
        <v>21</v>
      </c>
    </row>
    <row r="23" spans="1:18" x14ac:dyDescent="0.25">
      <c r="A23" s="3" t="s">
        <v>14</v>
      </c>
      <c r="B23" s="3" t="s">
        <v>15</v>
      </c>
      <c r="C23" s="3">
        <v>373078</v>
      </c>
      <c r="D23" s="3"/>
      <c r="E23" s="3" t="s">
        <v>16</v>
      </c>
      <c r="F23" s="3" t="s">
        <v>17</v>
      </c>
      <c r="G23" s="3" t="s">
        <v>18</v>
      </c>
      <c r="H23" s="4">
        <v>142</v>
      </c>
      <c r="I23" s="4">
        <v>14.2</v>
      </c>
      <c r="J23" s="4"/>
      <c r="K23" s="6">
        <v>8</v>
      </c>
      <c r="L23" s="3" t="s">
        <v>19</v>
      </c>
      <c r="M23" s="3">
        <v>5</v>
      </c>
      <c r="N23" s="3" t="s">
        <v>20</v>
      </c>
      <c r="O23" s="3">
        <v>4</v>
      </c>
      <c r="P23" s="2">
        <f t="shared" si="0"/>
        <v>0.41</v>
      </c>
      <c r="Q23" s="4"/>
      <c r="R23" s="3" t="s">
        <v>21</v>
      </c>
    </row>
    <row r="24" spans="1:18" x14ac:dyDescent="0.25">
      <c r="A24" s="3" t="s">
        <v>14</v>
      </c>
      <c r="B24" s="3" t="s">
        <v>15</v>
      </c>
      <c r="C24" s="3">
        <v>373079</v>
      </c>
      <c r="D24" s="3"/>
      <c r="E24" s="3" t="s">
        <v>16</v>
      </c>
      <c r="F24" s="3" t="s">
        <v>17</v>
      </c>
      <c r="G24" s="3" t="s">
        <v>18</v>
      </c>
      <c r="H24" s="4">
        <v>142</v>
      </c>
      <c r="I24" s="4">
        <v>14.2</v>
      </c>
      <c r="J24" s="4"/>
      <c r="K24" s="6">
        <v>8</v>
      </c>
      <c r="L24" s="3" t="s">
        <v>19</v>
      </c>
      <c r="M24" s="3">
        <v>5</v>
      </c>
      <c r="N24" s="3" t="s">
        <v>20</v>
      </c>
      <c r="O24" s="3">
        <v>4</v>
      </c>
      <c r="P24" s="2">
        <f t="shared" si="0"/>
        <v>0.41</v>
      </c>
      <c r="Q24" s="4"/>
      <c r="R24" s="3" t="s">
        <v>21</v>
      </c>
    </row>
    <row r="25" spans="1:18" x14ac:dyDescent="0.25">
      <c r="A25" s="3" t="s">
        <v>14</v>
      </c>
      <c r="B25" s="3" t="s">
        <v>15</v>
      </c>
      <c r="C25" s="3">
        <v>373080</v>
      </c>
      <c r="D25" s="3"/>
      <c r="E25" s="3" t="s">
        <v>16</v>
      </c>
      <c r="F25" s="3" t="s">
        <v>17</v>
      </c>
      <c r="G25" s="3" t="s">
        <v>18</v>
      </c>
      <c r="H25" s="4">
        <v>142</v>
      </c>
      <c r="I25" s="4">
        <v>14.2</v>
      </c>
      <c r="J25" s="4"/>
      <c r="K25" s="6">
        <v>8</v>
      </c>
      <c r="L25" s="3" t="s">
        <v>19</v>
      </c>
      <c r="M25" s="3">
        <v>5</v>
      </c>
      <c r="N25" s="3" t="s">
        <v>20</v>
      </c>
      <c r="O25" s="3">
        <v>4</v>
      </c>
      <c r="P25" s="2">
        <f t="shared" si="0"/>
        <v>0.41</v>
      </c>
      <c r="Q25" s="4"/>
      <c r="R25" s="3" t="s">
        <v>21</v>
      </c>
    </row>
    <row r="26" spans="1:18" x14ac:dyDescent="0.25">
      <c r="A26" s="3" t="s">
        <v>14</v>
      </c>
      <c r="B26" s="3" t="s">
        <v>15</v>
      </c>
      <c r="C26" s="3">
        <v>373081</v>
      </c>
      <c r="D26" s="3"/>
      <c r="E26" s="3" t="s">
        <v>16</v>
      </c>
      <c r="F26" s="3" t="s">
        <v>17</v>
      </c>
      <c r="G26" s="3" t="s">
        <v>18</v>
      </c>
      <c r="H26" s="4">
        <v>142</v>
      </c>
      <c r="I26" s="4">
        <v>14.2</v>
      </c>
      <c r="J26" s="4"/>
      <c r="K26" s="6">
        <v>8</v>
      </c>
      <c r="L26" s="3" t="s">
        <v>19</v>
      </c>
      <c r="M26" s="3">
        <v>5</v>
      </c>
      <c r="N26" s="3" t="s">
        <v>20</v>
      </c>
      <c r="O26" s="3">
        <v>4</v>
      </c>
      <c r="P26" s="2">
        <f t="shared" si="0"/>
        <v>0.41</v>
      </c>
      <c r="Q26" s="4"/>
      <c r="R26" s="3" t="s">
        <v>21</v>
      </c>
    </row>
    <row r="27" spans="1:18" x14ac:dyDescent="0.25">
      <c r="A27" s="3" t="s">
        <v>14</v>
      </c>
      <c r="B27" s="3" t="s">
        <v>15</v>
      </c>
      <c r="C27" s="3">
        <v>373082</v>
      </c>
      <c r="D27" s="3"/>
      <c r="E27" s="3" t="s">
        <v>16</v>
      </c>
      <c r="F27" s="3" t="s">
        <v>17</v>
      </c>
      <c r="G27" s="3" t="s">
        <v>18</v>
      </c>
      <c r="H27" s="4">
        <v>142</v>
      </c>
      <c r="I27" s="4">
        <v>14.2</v>
      </c>
      <c r="J27" s="4"/>
      <c r="K27" s="6">
        <v>8</v>
      </c>
      <c r="L27" s="3" t="s">
        <v>19</v>
      </c>
      <c r="M27" s="3">
        <v>5</v>
      </c>
      <c r="N27" s="3" t="s">
        <v>20</v>
      </c>
      <c r="O27" s="3">
        <v>4</v>
      </c>
      <c r="P27" s="2">
        <f t="shared" si="0"/>
        <v>0.41</v>
      </c>
      <c r="Q27" s="4"/>
      <c r="R27" s="3" t="s">
        <v>21</v>
      </c>
    </row>
    <row r="28" spans="1:18" x14ac:dyDescent="0.25">
      <c r="A28" s="3" t="s">
        <v>14</v>
      </c>
      <c r="B28" s="3" t="s">
        <v>15</v>
      </c>
      <c r="C28" s="3">
        <v>373084</v>
      </c>
      <c r="D28" s="3"/>
      <c r="E28" s="3" t="s">
        <v>16</v>
      </c>
      <c r="F28" s="3" t="s">
        <v>17</v>
      </c>
      <c r="G28" s="3" t="s">
        <v>18</v>
      </c>
      <c r="H28" s="4">
        <v>142</v>
      </c>
      <c r="I28" s="4">
        <v>14.2</v>
      </c>
      <c r="J28" s="4"/>
      <c r="K28" s="6">
        <v>8</v>
      </c>
      <c r="L28" s="3" t="s">
        <v>19</v>
      </c>
      <c r="M28" s="3">
        <v>5</v>
      </c>
      <c r="N28" s="3" t="s">
        <v>20</v>
      </c>
      <c r="O28" s="3">
        <v>4</v>
      </c>
      <c r="P28" s="2">
        <f t="shared" si="0"/>
        <v>0.41</v>
      </c>
      <c r="Q28" s="4"/>
      <c r="R28" s="3" t="s">
        <v>21</v>
      </c>
    </row>
    <row r="29" spans="1:18" x14ac:dyDescent="0.25">
      <c r="A29" s="3" t="s">
        <v>14</v>
      </c>
      <c r="B29" s="3" t="s">
        <v>15</v>
      </c>
      <c r="C29" s="3">
        <v>373085</v>
      </c>
      <c r="D29" s="3"/>
      <c r="E29" s="3" t="s">
        <v>16</v>
      </c>
      <c r="F29" s="3" t="s">
        <v>17</v>
      </c>
      <c r="G29" s="3" t="s">
        <v>18</v>
      </c>
      <c r="H29" s="4">
        <v>142</v>
      </c>
      <c r="I29" s="4">
        <v>14.2</v>
      </c>
      <c r="J29" s="4"/>
      <c r="K29" s="6">
        <v>8</v>
      </c>
      <c r="L29" s="3" t="s">
        <v>19</v>
      </c>
      <c r="M29" s="3">
        <v>5</v>
      </c>
      <c r="N29" s="3" t="s">
        <v>20</v>
      </c>
      <c r="O29" s="3">
        <v>4</v>
      </c>
      <c r="P29" s="2">
        <f t="shared" si="0"/>
        <v>0.41</v>
      </c>
      <c r="Q29" s="4"/>
      <c r="R29" s="3" t="s">
        <v>21</v>
      </c>
    </row>
    <row r="30" spans="1:18" x14ac:dyDescent="0.25">
      <c r="A30" s="3" t="s">
        <v>14</v>
      </c>
      <c r="B30" s="3" t="s">
        <v>15</v>
      </c>
      <c r="C30" s="3">
        <v>373086</v>
      </c>
      <c r="D30" s="3"/>
      <c r="E30" s="3" t="s">
        <v>16</v>
      </c>
      <c r="F30" s="3" t="s">
        <v>17</v>
      </c>
      <c r="G30" s="3" t="s">
        <v>18</v>
      </c>
      <c r="H30" s="4">
        <v>142</v>
      </c>
      <c r="I30" s="4">
        <v>14.2</v>
      </c>
      <c r="J30" s="4"/>
      <c r="K30" s="6">
        <v>8</v>
      </c>
      <c r="L30" s="3" t="s">
        <v>19</v>
      </c>
      <c r="M30" s="3">
        <v>5</v>
      </c>
      <c r="N30" s="3" t="s">
        <v>20</v>
      </c>
      <c r="O30" s="3">
        <v>4</v>
      </c>
      <c r="P30" s="2">
        <f t="shared" si="0"/>
        <v>0.41</v>
      </c>
      <c r="Q30" s="4"/>
      <c r="R30" s="3" t="s">
        <v>21</v>
      </c>
    </row>
    <row r="31" spans="1:18" x14ac:dyDescent="0.25">
      <c r="A31" s="3" t="s">
        <v>14</v>
      </c>
      <c r="B31" s="3" t="s">
        <v>22</v>
      </c>
      <c r="C31" s="3">
        <v>392214</v>
      </c>
      <c r="D31" s="3"/>
      <c r="E31" s="3" t="s">
        <v>23</v>
      </c>
      <c r="F31" s="3" t="s">
        <v>24</v>
      </c>
      <c r="G31" s="3" t="s">
        <v>25</v>
      </c>
      <c r="H31" s="4">
        <v>7073.31</v>
      </c>
      <c r="I31" s="4">
        <v>707.31</v>
      </c>
      <c r="J31" s="4"/>
      <c r="K31" s="6">
        <v>8</v>
      </c>
      <c r="L31" s="3" t="s">
        <v>19</v>
      </c>
      <c r="M31" s="3">
        <v>5</v>
      </c>
      <c r="N31" s="3" t="s">
        <v>20</v>
      </c>
      <c r="O31" s="3">
        <v>4</v>
      </c>
      <c r="P31" s="2">
        <f t="shared" si="0"/>
        <v>0.41</v>
      </c>
      <c r="Q31" s="4"/>
      <c r="R31" s="3" t="s">
        <v>21</v>
      </c>
    </row>
    <row r="32" spans="1:18" x14ac:dyDescent="0.25">
      <c r="A32" s="3" t="s">
        <v>14</v>
      </c>
      <c r="B32" s="3" t="s">
        <v>22</v>
      </c>
      <c r="C32" s="3">
        <v>392215</v>
      </c>
      <c r="D32" s="3"/>
      <c r="E32" s="3" t="s">
        <v>23</v>
      </c>
      <c r="F32" s="3" t="s">
        <v>24</v>
      </c>
      <c r="G32" s="3" t="s">
        <v>25</v>
      </c>
      <c r="H32" s="4">
        <v>7073.31</v>
      </c>
      <c r="I32" s="4">
        <v>707.31</v>
      </c>
      <c r="J32" s="4"/>
      <c r="K32" s="6">
        <v>8</v>
      </c>
      <c r="L32" s="3" t="s">
        <v>19</v>
      </c>
      <c r="M32" s="3">
        <v>5</v>
      </c>
      <c r="N32" s="3" t="s">
        <v>20</v>
      </c>
      <c r="O32" s="3">
        <v>4</v>
      </c>
      <c r="P32" s="2">
        <f t="shared" si="0"/>
        <v>0.41</v>
      </c>
      <c r="Q32" s="4"/>
      <c r="R32" s="3" t="s">
        <v>21</v>
      </c>
    </row>
    <row r="33" spans="1:18" x14ac:dyDescent="0.25">
      <c r="A33" s="3" t="s">
        <v>14</v>
      </c>
      <c r="B33" s="3" t="s">
        <v>22</v>
      </c>
      <c r="C33" s="3">
        <v>392216</v>
      </c>
      <c r="D33" s="3"/>
      <c r="E33" s="3" t="s">
        <v>23</v>
      </c>
      <c r="F33" s="3" t="s">
        <v>24</v>
      </c>
      <c r="G33" s="3" t="s">
        <v>25</v>
      </c>
      <c r="H33" s="4">
        <v>7073.31</v>
      </c>
      <c r="I33" s="4">
        <v>707.31</v>
      </c>
      <c r="J33" s="4"/>
      <c r="K33" s="6">
        <v>8</v>
      </c>
      <c r="L33" s="3" t="s">
        <v>19</v>
      </c>
      <c r="M33" s="3">
        <v>5</v>
      </c>
      <c r="N33" s="3" t="s">
        <v>20</v>
      </c>
      <c r="O33" s="3">
        <v>4</v>
      </c>
      <c r="P33" s="2">
        <f t="shared" si="0"/>
        <v>0.41</v>
      </c>
      <c r="Q33" s="4"/>
      <c r="R33" s="3" t="s">
        <v>21</v>
      </c>
    </row>
    <row r="34" spans="1:18" x14ac:dyDescent="0.25">
      <c r="A34" s="3" t="s">
        <v>14</v>
      </c>
      <c r="B34" s="3" t="s">
        <v>22</v>
      </c>
      <c r="C34" s="3">
        <v>392217</v>
      </c>
      <c r="D34" s="3"/>
      <c r="E34" s="3" t="s">
        <v>23</v>
      </c>
      <c r="F34" s="3" t="s">
        <v>24</v>
      </c>
      <c r="G34" s="3" t="s">
        <v>25</v>
      </c>
      <c r="H34" s="4">
        <v>7073.31</v>
      </c>
      <c r="I34" s="4">
        <v>707.31</v>
      </c>
      <c r="J34" s="4"/>
      <c r="K34" s="6">
        <v>8</v>
      </c>
      <c r="L34" s="3" t="s">
        <v>19</v>
      </c>
      <c r="M34" s="3">
        <v>5</v>
      </c>
      <c r="N34" s="3" t="s">
        <v>20</v>
      </c>
      <c r="O34" s="3">
        <v>4</v>
      </c>
      <c r="P34" s="2">
        <f t="shared" si="0"/>
        <v>0.41</v>
      </c>
      <c r="Q34" s="4"/>
      <c r="R34" s="3" t="s">
        <v>21</v>
      </c>
    </row>
    <row r="35" spans="1:18" x14ac:dyDescent="0.25">
      <c r="A35" s="3" t="s">
        <v>14</v>
      </c>
      <c r="B35" s="3" t="s">
        <v>22</v>
      </c>
      <c r="C35" s="3">
        <v>392218</v>
      </c>
      <c r="D35" s="3"/>
      <c r="E35" s="3" t="s">
        <v>23</v>
      </c>
      <c r="F35" s="3" t="s">
        <v>24</v>
      </c>
      <c r="G35" s="3" t="s">
        <v>25</v>
      </c>
      <c r="H35" s="4">
        <v>7073.31</v>
      </c>
      <c r="I35" s="4">
        <v>707.31</v>
      </c>
      <c r="J35" s="4"/>
      <c r="K35" s="6">
        <v>8</v>
      </c>
      <c r="L35" s="3" t="s">
        <v>19</v>
      </c>
      <c r="M35" s="3">
        <v>5</v>
      </c>
      <c r="N35" s="3" t="s">
        <v>20</v>
      </c>
      <c r="O35" s="3">
        <v>4</v>
      </c>
      <c r="P35" s="2">
        <f t="shared" si="0"/>
        <v>0.41</v>
      </c>
      <c r="Q35" s="4"/>
      <c r="R35" s="3" t="s">
        <v>21</v>
      </c>
    </row>
    <row r="36" spans="1:18" x14ac:dyDescent="0.25">
      <c r="A36" s="3" t="s">
        <v>14</v>
      </c>
      <c r="B36" s="3" t="s">
        <v>22</v>
      </c>
      <c r="C36" s="3">
        <v>392219</v>
      </c>
      <c r="D36" s="3"/>
      <c r="E36" s="3" t="s">
        <v>23</v>
      </c>
      <c r="F36" s="3" t="s">
        <v>24</v>
      </c>
      <c r="G36" s="3" t="s">
        <v>25</v>
      </c>
      <c r="H36" s="4">
        <v>7073.31</v>
      </c>
      <c r="I36" s="4">
        <v>707.31</v>
      </c>
      <c r="J36" s="4"/>
      <c r="K36" s="6">
        <v>8</v>
      </c>
      <c r="L36" s="3" t="s">
        <v>19</v>
      </c>
      <c r="M36" s="3">
        <v>5</v>
      </c>
      <c r="N36" s="3" t="s">
        <v>20</v>
      </c>
      <c r="O36" s="3">
        <v>4</v>
      </c>
      <c r="P36" s="2">
        <f t="shared" si="0"/>
        <v>0.41</v>
      </c>
      <c r="Q36" s="4"/>
      <c r="R36" s="3" t="s">
        <v>21</v>
      </c>
    </row>
    <row r="37" spans="1:18" x14ac:dyDescent="0.25">
      <c r="A37" s="3" t="s">
        <v>14</v>
      </c>
      <c r="B37" s="3" t="s">
        <v>22</v>
      </c>
      <c r="C37" s="3">
        <v>392220</v>
      </c>
      <c r="D37" s="3"/>
      <c r="E37" s="3" t="s">
        <v>23</v>
      </c>
      <c r="F37" s="3" t="s">
        <v>24</v>
      </c>
      <c r="G37" s="3" t="s">
        <v>25</v>
      </c>
      <c r="H37" s="4">
        <v>7073.31</v>
      </c>
      <c r="I37" s="4">
        <v>707.31</v>
      </c>
      <c r="J37" s="4"/>
      <c r="K37" s="6">
        <v>8</v>
      </c>
      <c r="L37" s="3" t="s">
        <v>19</v>
      </c>
      <c r="M37" s="3">
        <v>5</v>
      </c>
      <c r="N37" s="3" t="s">
        <v>20</v>
      </c>
      <c r="O37" s="3">
        <v>4</v>
      </c>
      <c r="P37" s="2">
        <f t="shared" si="0"/>
        <v>0.41</v>
      </c>
      <c r="Q37" s="4"/>
      <c r="R37" s="3" t="s">
        <v>21</v>
      </c>
    </row>
    <row r="38" spans="1:18" x14ac:dyDescent="0.25">
      <c r="A38" s="3" t="s">
        <v>14</v>
      </c>
      <c r="B38" s="3" t="s">
        <v>22</v>
      </c>
      <c r="C38" s="3">
        <v>392221</v>
      </c>
      <c r="D38" s="3"/>
      <c r="E38" s="3" t="s">
        <v>23</v>
      </c>
      <c r="F38" s="3" t="s">
        <v>24</v>
      </c>
      <c r="G38" s="3" t="s">
        <v>25</v>
      </c>
      <c r="H38" s="4">
        <v>7073.31</v>
      </c>
      <c r="I38" s="4">
        <v>707.31</v>
      </c>
      <c r="J38" s="4"/>
      <c r="K38" s="6">
        <v>8</v>
      </c>
      <c r="L38" s="3" t="s">
        <v>19</v>
      </c>
      <c r="M38" s="3">
        <v>5</v>
      </c>
      <c r="N38" s="3" t="s">
        <v>20</v>
      </c>
      <c r="O38" s="3">
        <v>4</v>
      </c>
      <c r="P38" s="2">
        <f t="shared" si="0"/>
        <v>0.41</v>
      </c>
      <c r="Q38" s="4"/>
      <c r="R38" s="3" t="s">
        <v>21</v>
      </c>
    </row>
    <row r="39" spans="1:18" x14ac:dyDescent="0.25">
      <c r="A39" s="3" t="s">
        <v>14</v>
      </c>
      <c r="B39" s="3" t="s">
        <v>22</v>
      </c>
      <c r="C39" s="3">
        <v>392222</v>
      </c>
      <c r="D39" s="3"/>
      <c r="E39" s="3" t="s">
        <v>23</v>
      </c>
      <c r="F39" s="3" t="s">
        <v>24</v>
      </c>
      <c r="G39" s="3" t="s">
        <v>25</v>
      </c>
      <c r="H39" s="4">
        <v>7073.31</v>
      </c>
      <c r="I39" s="4">
        <v>707.31</v>
      </c>
      <c r="J39" s="4"/>
      <c r="K39" s="6">
        <v>8</v>
      </c>
      <c r="L39" s="3" t="s">
        <v>19</v>
      </c>
      <c r="M39" s="3">
        <v>5</v>
      </c>
      <c r="N39" s="3" t="s">
        <v>20</v>
      </c>
      <c r="O39" s="3">
        <v>4</v>
      </c>
      <c r="P39" s="2">
        <f t="shared" si="0"/>
        <v>0.41</v>
      </c>
      <c r="Q39" s="4"/>
      <c r="R39" s="3" t="s">
        <v>21</v>
      </c>
    </row>
    <row r="40" spans="1:18" x14ac:dyDescent="0.25">
      <c r="A40" s="3" t="s">
        <v>14</v>
      </c>
      <c r="B40" s="3" t="s">
        <v>22</v>
      </c>
      <c r="C40" s="3">
        <v>392223</v>
      </c>
      <c r="D40" s="3"/>
      <c r="E40" s="3" t="s">
        <v>23</v>
      </c>
      <c r="F40" s="3" t="s">
        <v>24</v>
      </c>
      <c r="G40" s="3" t="s">
        <v>25</v>
      </c>
      <c r="H40" s="4">
        <v>7073.31</v>
      </c>
      <c r="I40" s="4">
        <v>707.31</v>
      </c>
      <c r="J40" s="4"/>
      <c r="K40" s="6">
        <v>8</v>
      </c>
      <c r="L40" s="3" t="s">
        <v>19</v>
      </c>
      <c r="M40" s="3">
        <v>5</v>
      </c>
      <c r="N40" s="3" t="s">
        <v>20</v>
      </c>
      <c r="O40" s="3">
        <v>4</v>
      </c>
      <c r="P40" s="2">
        <f t="shared" si="0"/>
        <v>0.41</v>
      </c>
      <c r="Q40" s="4"/>
      <c r="R40" s="3" t="s">
        <v>21</v>
      </c>
    </row>
    <row r="41" spans="1:18" x14ac:dyDescent="0.25">
      <c r="A41" s="3" t="s">
        <v>14</v>
      </c>
      <c r="B41" s="3" t="s">
        <v>22</v>
      </c>
      <c r="C41" s="3">
        <v>392224</v>
      </c>
      <c r="D41" s="3"/>
      <c r="E41" s="3" t="s">
        <v>23</v>
      </c>
      <c r="F41" s="3" t="s">
        <v>24</v>
      </c>
      <c r="G41" s="3" t="s">
        <v>25</v>
      </c>
      <c r="H41" s="4">
        <v>7073.31</v>
      </c>
      <c r="I41" s="4">
        <v>707.31</v>
      </c>
      <c r="J41" s="4"/>
      <c r="K41" s="6">
        <v>8</v>
      </c>
      <c r="L41" s="3" t="s">
        <v>19</v>
      </c>
      <c r="M41" s="3">
        <v>5</v>
      </c>
      <c r="N41" s="3" t="s">
        <v>20</v>
      </c>
      <c r="O41" s="3">
        <v>4</v>
      </c>
      <c r="P41" s="2">
        <f t="shared" si="0"/>
        <v>0.41</v>
      </c>
      <c r="Q41" s="4"/>
      <c r="R41" s="3" t="s">
        <v>21</v>
      </c>
    </row>
    <row r="42" spans="1:18" x14ac:dyDescent="0.25">
      <c r="A42" s="3" t="s">
        <v>14</v>
      </c>
      <c r="B42" s="3" t="s">
        <v>22</v>
      </c>
      <c r="C42" s="3">
        <v>392225</v>
      </c>
      <c r="D42" s="3"/>
      <c r="E42" s="3" t="s">
        <v>23</v>
      </c>
      <c r="F42" s="3" t="s">
        <v>24</v>
      </c>
      <c r="G42" s="3" t="s">
        <v>25</v>
      </c>
      <c r="H42" s="4">
        <v>7073.31</v>
      </c>
      <c r="I42" s="4">
        <v>707.31</v>
      </c>
      <c r="J42" s="4"/>
      <c r="K42" s="6">
        <v>8</v>
      </c>
      <c r="L42" s="3" t="s">
        <v>19</v>
      </c>
      <c r="M42" s="3">
        <v>5</v>
      </c>
      <c r="N42" s="3" t="s">
        <v>20</v>
      </c>
      <c r="O42" s="3">
        <v>4</v>
      </c>
      <c r="P42" s="2">
        <f t="shared" si="0"/>
        <v>0.41</v>
      </c>
      <c r="Q42" s="4"/>
      <c r="R42" s="3" t="s">
        <v>21</v>
      </c>
    </row>
    <row r="43" spans="1:18" x14ac:dyDescent="0.25">
      <c r="A43" s="3" t="s">
        <v>14</v>
      </c>
      <c r="B43" s="3" t="s">
        <v>22</v>
      </c>
      <c r="C43" s="3">
        <v>392226</v>
      </c>
      <c r="D43" s="3"/>
      <c r="E43" s="3" t="s">
        <v>23</v>
      </c>
      <c r="F43" s="3" t="s">
        <v>24</v>
      </c>
      <c r="G43" s="3" t="s">
        <v>25</v>
      </c>
      <c r="H43" s="4">
        <v>7073.31</v>
      </c>
      <c r="I43" s="4">
        <v>707.31</v>
      </c>
      <c r="J43" s="4"/>
      <c r="K43" s="6">
        <v>8</v>
      </c>
      <c r="L43" s="3" t="s">
        <v>19</v>
      </c>
      <c r="M43" s="3">
        <v>5</v>
      </c>
      <c r="N43" s="3" t="s">
        <v>20</v>
      </c>
      <c r="O43" s="3">
        <v>4</v>
      </c>
      <c r="P43" s="2">
        <f t="shared" si="0"/>
        <v>0.41</v>
      </c>
      <c r="Q43" s="4"/>
      <c r="R43" s="3" t="s">
        <v>21</v>
      </c>
    </row>
    <row r="44" spans="1:18" x14ac:dyDescent="0.25">
      <c r="A44" s="3" t="s">
        <v>14</v>
      </c>
      <c r="B44" s="3" t="s">
        <v>22</v>
      </c>
      <c r="C44" s="3">
        <v>392227</v>
      </c>
      <c r="D44" s="3"/>
      <c r="E44" s="3" t="s">
        <v>23</v>
      </c>
      <c r="F44" s="3" t="s">
        <v>24</v>
      </c>
      <c r="G44" s="3" t="s">
        <v>25</v>
      </c>
      <c r="H44" s="4">
        <v>7073.31</v>
      </c>
      <c r="I44" s="4">
        <v>707.31</v>
      </c>
      <c r="J44" s="4"/>
      <c r="K44" s="6">
        <v>8</v>
      </c>
      <c r="L44" s="3" t="s">
        <v>19</v>
      </c>
      <c r="M44" s="3">
        <v>5</v>
      </c>
      <c r="N44" s="3" t="s">
        <v>20</v>
      </c>
      <c r="O44" s="3">
        <v>4</v>
      </c>
      <c r="P44" s="2">
        <f t="shared" si="0"/>
        <v>0.41</v>
      </c>
      <c r="Q44" s="4"/>
      <c r="R44" s="3" t="s">
        <v>21</v>
      </c>
    </row>
    <row r="45" spans="1:18" x14ac:dyDescent="0.25">
      <c r="A45" s="3" t="s">
        <v>14</v>
      </c>
      <c r="B45" s="3" t="s">
        <v>22</v>
      </c>
      <c r="C45" s="3">
        <v>392228</v>
      </c>
      <c r="D45" s="3"/>
      <c r="E45" s="3" t="s">
        <v>23</v>
      </c>
      <c r="F45" s="3" t="s">
        <v>24</v>
      </c>
      <c r="G45" s="3" t="s">
        <v>25</v>
      </c>
      <c r="H45" s="4">
        <v>7073.31</v>
      </c>
      <c r="I45" s="4">
        <v>707.31</v>
      </c>
      <c r="J45" s="4"/>
      <c r="K45" s="6">
        <v>8</v>
      </c>
      <c r="L45" s="3" t="s">
        <v>19</v>
      </c>
      <c r="M45" s="3">
        <v>5</v>
      </c>
      <c r="N45" s="3" t="s">
        <v>20</v>
      </c>
      <c r="O45" s="3">
        <v>4</v>
      </c>
      <c r="P45" s="2">
        <f t="shared" si="0"/>
        <v>0.41</v>
      </c>
      <c r="Q45" s="4"/>
      <c r="R45" s="3" t="s">
        <v>21</v>
      </c>
    </row>
    <row r="46" spans="1:18" x14ac:dyDescent="0.25">
      <c r="A46" s="3" t="s">
        <v>14</v>
      </c>
      <c r="B46" s="3" t="s">
        <v>22</v>
      </c>
      <c r="C46" s="3">
        <v>392229</v>
      </c>
      <c r="D46" s="3"/>
      <c r="E46" s="3" t="s">
        <v>23</v>
      </c>
      <c r="F46" s="3" t="s">
        <v>24</v>
      </c>
      <c r="G46" s="3" t="s">
        <v>25</v>
      </c>
      <c r="H46" s="4">
        <v>7073.31</v>
      </c>
      <c r="I46" s="4">
        <v>707.31</v>
      </c>
      <c r="J46" s="4"/>
      <c r="K46" s="6">
        <v>8</v>
      </c>
      <c r="L46" s="3" t="s">
        <v>19</v>
      </c>
      <c r="M46" s="3">
        <v>5</v>
      </c>
      <c r="N46" s="3" t="s">
        <v>20</v>
      </c>
      <c r="O46" s="3">
        <v>4</v>
      </c>
      <c r="P46" s="2">
        <f t="shared" si="0"/>
        <v>0.41</v>
      </c>
      <c r="Q46" s="4"/>
      <c r="R46" s="3" t="s">
        <v>21</v>
      </c>
    </row>
    <row r="47" spans="1:18" x14ac:dyDescent="0.25">
      <c r="A47" s="3" t="s">
        <v>14</v>
      </c>
      <c r="B47" s="3" t="s">
        <v>22</v>
      </c>
      <c r="C47" s="3">
        <v>392230</v>
      </c>
      <c r="D47" s="3"/>
      <c r="E47" s="3" t="s">
        <v>23</v>
      </c>
      <c r="F47" s="3" t="s">
        <v>24</v>
      </c>
      <c r="G47" s="3" t="s">
        <v>25</v>
      </c>
      <c r="H47" s="4">
        <v>7073.31</v>
      </c>
      <c r="I47" s="4">
        <v>707.31</v>
      </c>
      <c r="J47" s="4"/>
      <c r="K47" s="6">
        <v>8</v>
      </c>
      <c r="L47" s="3" t="s">
        <v>19</v>
      </c>
      <c r="M47" s="3">
        <v>5</v>
      </c>
      <c r="N47" s="3" t="s">
        <v>20</v>
      </c>
      <c r="O47" s="3">
        <v>4</v>
      </c>
      <c r="P47" s="2">
        <f t="shared" si="0"/>
        <v>0.41</v>
      </c>
      <c r="Q47" s="4"/>
      <c r="R47" s="3" t="s">
        <v>21</v>
      </c>
    </row>
    <row r="48" spans="1:18" x14ac:dyDescent="0.25">
      <c r="A48" s="3" t="s">
        <v>14</v>
      </c>
      <c r="B48" s="3" t="s">
        <v>22</v>
      </c>
      <c r="C48" s="3">
        <v>392231</v>
      </c>
      <c r="D48" s="3"/>
      <c r="E48" s="3" t="s">
        <v>23</v>
      </c>
      <c r="F48" s="3" t="s">
        <v>24</v>
      </c>
      <c r="G48" s="3" t="s">
        <v>25</v>
      </c>
      <c r="H48" s="4">
        <v>7073.31</v>
      </c>
      <c r="I48" s="4">
        <v>707.31</v>
      </c>
      <c r="J48" s="4"/>
      <c r="K48" s="6">
        <v>8</v>
      </c>
      <c r="L48" s="3" t="s">
        <v>19</v>
      </c>
      <c r="M48" s="3">
        <v>5</v>
      </c>
      <c r="N48" s="3" t="s">
        <v>20</v>
      </c>
      <c r="O48" s="3">
        <v>4</v>
      </c>
      <c r="P48" s="2">
        <f t="shared" si="0"/>
        <v>0.41</v>
      </c>
      <c r="Q48" s="4"/>
      <c r="R48" s="3" t="s">
        <v>21</v>
      </c>
    </row>
    <row r="49" spans="1:18" x14ac:dyDescent="0.25">
      <c r="A49" s="3" t="s">
        <v>14</v>
      </c>
      <c r="B49" s="3" t="s">
        <v>22</v>
      </c>
      <c r="C49" s="3">
        <v>392232</v>
      </c>
      <c r="D49" s="3"/>
      <c r="E49" s="3" t="s">
        <v>23</v>
      </c>
      <c r="F49" s="3" t="s">
        <v>24</v>
      </c>
      <c r="G49" s="3" t="s">
        <v>25</v>
      </c>
      <c r="H49" s="4">
        <v>7073.31</v>
      </c>
      <c r="I49" s="4">
        <v>707.31</v>
      </c>
      <c r="J49" s="4"/>
      <c r="K49" s="6">
        <v>8</v>
      </c>
      <c r="L49" s="3" t="s">
        <v>19</v>
      </c>
      <c r="M49" s="3">
        <v>5</v>
      </c>
      <c r="N49" s="3" t="s">
        <v>20</v>
      </c>
      <c r="O49" s="3">
        <v>4</v>
      </c>
      <c r="P49" s="2">
        <f t="shared" si="0"/>
        <v>0.41</v>
      </c>
      <c r="Q49" s="4"/>
      <c r="R49" s="3" t="s">
        <v>21</v>
      </c>
    </row>
    <row r="50" spans="1:18" x14ac:dyDescent="0.25">
      <c r="A50" s="3" t="s">
        <v>14</v>
      </c>
      <c r="B50" s="3" t="s">
        <v>22</v>
      </c>
      <c r="C50" s="3">
        <v>392233</v>
      </c>
      <c r="D50" s="3"/>
      <c r="E50" s="3" t="s">
        <v>23</v>
      </c>
      <c r="F50" s="3" t="s">
        <v>24</v>
      </c>
      <c r="G50" s="3" t="s">
        <v>25</v>
      </c>
      <c r="H50" s="4">
        <v>7073.31</v>
      </c>
      <c r="I50" s="4">
        <v>707.31</v>
      </c>
      <c r="J50" s="4"/>
      <c r="K50" s="6">
        <v>8</v>
      </c>
      <c r="L50" s="3" t="s">
        <v>19</v>
      </c>
      <c r="M50" s="3">
        <v>5</v>
      </c>
      <c r="N50" s="3" t="s">
        <v>20</v>
      </c>
      <c r="O50" s="3">
        <v>4</v>
      </c>
      <c r="P50" s="2">
        <f t="shared" si="0"/>
        <v>0.41</v>
      </c>
      <c r="Q50" s="4"/>
      <c r="R50" s="3" t="s">
        <v>21</v>
      </c>
    </row>
    <row r="51" spans="1:18" x14ac:dyDescent="0.25">
      <c r="A51" s="3" t="s">
        <v>14</v>
      </c>
      <c r="B51" s="3" t="s">
        <v>22</v>
      </c>
      <c r="C51" s="3">
        <v>392234</v>
      </c>
      <c r="D51" s="3"/>
      <c r="E51" s="3" t="s">
        <v>23</v>
      </c>
      <c r="F51" s="3" t="s">
        <v>24</v>
      </c>
      <c r="G51" s="3" t="s">
        <v>25</v>
      </c>
      <c r="H51" s="4">
        <v>7073.31</v>
      </c>
      <c r="I51" s="4">
        <v>707.31</v>
      </c>
      <c r="J51" s="4"/>
      <c r="K51" s="6">
        <v>8</v>
      </c>
      <c r="L51" s="3" t="s">
        <v>19</v>
      </c>
      <c r="M51" s="3">
        <v>5</v>
      </c>
      <c r="N51" s="3" t="s">
        <v>20</v>
      </c>
      <c r="O51" s="3">
        <v>4</v>
      </c>
      <c r="P51" s="2">
        <f t="shared" si="0"/>
        <v>0.41</v>
      </c>
      <c r="Q51" s="4"/>
      <c r="R51" s="3" t="s">
        <v>21</v>
      </c>
    </row>
    <row r="52" spans="1:18" x14ac:dyDescent="0.25">
      <c r="A52" s="3" t="s">
        <v>14</v>
      </c>
      <c r="B52" s="3" t="s">
        <v>22</v>
      </c>
      <c r="C52" s="3">
        <v>392235</v>
      </c>
      <c r="D52" s="3"/>
      <c r="E52" s="3" t="s">
        <v>23</v>
      </c>
      <c r="F52" s="3" t="s">
        <v>24</v>
      </c>
      <c r="G52" s="3" t="s">
        <v>25</v>
      </c>
      <c r="H52" s="4">
        <v>7073.31</v>
      </c>
      <c r="I52" s="4">
        <v>707.31</v>
      </c>
      <c r="J52" s="4"/>
      <c r="K52" s="6">
        <v>8</v>
      </c>
      <c r="L52" s="3" t="s">
        <v>19</v>
      </c>
      <c r="M52" s="3">
        <v>5</v>
      </c>
      <c r="N52" s="3" t="s">
        <v>20</v>
      </c>
      <c r="O52" s="3">
        <v>4</v>
      </c>
      <c r="P52" s="2">
        <f t="shared" si="0"/>
        <v>0.41</v>
      </c>
      <c r="Q52" s="4"/>
      <c r="R52" s="3" t="s">
        <v>21</v>
      </c>
    </row>
    <row r="53" spans="1:18" x14ac:dyDescent="0.25">
      <c r="A53" s="3" t="s">
        <v>14</v>
      </c>
      <c r="B53" s="3" t="s">
        <v>22</v>
      </c>
      <c r="C53" s="3">
        <v>392236</v>
      </c>
      <c r="D53" s="3"/>
      <c r="E53" s="3" t="s">
        <v>23</v>
      </c>
      <c r="F53" s="3" t="s">
        <v>24</v>
      </c>
      <c r="G53" s="3" t="s">
        <v>25</v>
      </c>
      <c r="H53" s="4">
        <v>7073.31</v>
      </c>
      <c r="I53" s="4">
        <v>707.31</v>
      </c>
      <c r="J53" s="4"/>
      <c r="K53" s="6">
        <v>8</v>
      </c>
      <c r="L53" s="3" t="s">
        <v>19</v>
      </c>
      <c r="M53" s="3">
        <v>5</v>
      </c>
      <c r="N53" s="3" t="s">
        <v>20</v>
      </c>
      <c r="O53" s="3">
        <v>4</v>
      </c>
      <c r="P53" s="2">
        <f t="shared" si="0"/>
        <v>0.41</v>
      </c>
      <c r="Q53" s="4"/>
      <c r="R53" s="3" t="s">
        <v>21</v>
      </c>
    </row>
    <row r="54" spans="1:18" x14ac:dyDescent="0.25">
      <c r="A54" s="3" t="s">
        <v>14</v>
      </c>
      <c r="B54" s="3" t="s">
        <v>22</v>
      </c>
      <c r="C54" s="3">
        <v>392237</v>
      </c>
      <c r="D54" s="3"/>
      <c r="E54" s="3" t="s">
        <v>23</v>
      </c>
      <c r="F54" s="3" t="s">
        <v>24</v>
      </c>
      <c r="G54" s="3" t="s">
        <v>25</v>
      </c>
      <c r="H54" s="4">
        <v>7073.31</v>
      </c>
      <c r="I54" s="4">
        <v>707.31</v>
      </c>
      <c r="J54" s="4"/>
      <c r="K54" s="6">
        <v>8</v>
      </c>
      <c r="L54" s="3" t="s">
        <v>19</v>
      </c>
      <c r="M54" s="3">
        <v>5</v>
      </c>
      <c r="N54" s="3" t="s">
        <v>20</v>
      </c>
      <c r="O54" s="3">
        <v>4</v>
      </c>
      <c r="P54" s="2">
        <f t="shared" si="0"/>
        <v>0.41</v>
      </c>
      <c r="Q54" s="4"/>
      <c r="R54" s="3" t="s">
        <v>21</v>
      </c>
    </row>
    <row r="55" spans="1:18" x14ac:dyDescent="0.25">
      <c r="A55" s="3" t="s">
        <v>14</v>
      </c>
      <c r="B55" s="3" t="s">
        <v>22</v>
      </c>
      <c r="C55" s="3">
        <v>392238</v>
      </c>
      <c r="D55" s="3"/>
      <c r="E55" s="3" t="s">
        <v>23</v>
      </c>
      <c r="F55" s="3" t="s">
        <v>24</v>
      </c>
      <c r="G55" s="3" t="s">
        <v>25</v>
      </c>
      <c r="H55" s="4">
        <v>7073.28</v>
      </c>
      <c r="I55" s="4">
        <v>707.28</v>
      </c>
      <c r="J55" s="4"/>
      <c r="K55" s="6">
        <v>8</v>
      </c>
      <c r="L55" s="3" t="s">
        <v>19</v>
      </c>
      <c r="M55" s="3">
        <v>5</v>
      </c>
      <c r="N55" s="3" t="s">
        <v>20</v>
      </c>
      <c r="O55" s="3">
        <v>4</v>
      </c>
      <c r="P55" s="2">
        <f t="shared" si="0"/>
        <v>0.41</v>
      </c>
      <c r="Q55" s="4"/>
      <c r="R55" s="3" t="s">
        <v>21</v>
      </c>
    </row>
    <row r="56" spans="1:18" x14ac:dyDescent="0.25">
      <c r="A56" s="3" t="s">
        <v>14</v>
      </c>
      <c r="B56" s="3" t="s">
        <v>22</v>
      </c>
      <c r="C56" s="3">
        <v>392239</v>
      </c>
      <c r="D56" s="3"/>
      <c r="E56" s="3" t="s">
        <v>23</v>
      </c>
      <c r="F56" s="3" t="s">
        <v>24</v>
      </c>
      <c r="G56" s="3" t="s">
        <v>25</v>
      </c>
      <c r="H56" s="4">
        <v>7073.28</v>
      </c>
      <c r="I56" s="4">
        <v>707.28</v>
      </c>
      <c r="J56" s="4"/>
      <c r="K56" s="6">
        <v>8</v>
      </c>
      <c r="L56" s="3" t="s">
        <v>19</v>
      </c>
      <c r="M56" s="3">
        <v>5</v>
      </c>
      <c r="N56" s="3" t="s">
        <v>20</v>
      </c>
      <c r="O56" s="3">
        <v>4</v>
      </c>
      <c r="P56" s="2">
        <f t="shared" si="0"/>
        <v>0.41</v>
      </c>
      <c r="Q56" s="4"/>
      <c r="R56" s="3" t="s">
        <v>21</v>
      </c>
    </row>
    <row r="57" spans="1:18" x14ac:dyDescent="0.25">
      <c r="A57" s="3" t="s">
        <v>14</v>
      </c>
      <c r="B57" s="3" t="s">
        <v>26</v>
      </c>
      <c r="C57" s="3">
        <v>392587</v>
      </c>
      <c r="D57" s="3"/>
      <c r="E57" s="3" t="s">
        <v>27</v>
      </c>
      <c r="F57" s="3" t="s">
        <v>28</v>
      </c>
      <c r="G57" s="3" t="s">
        <v>29</v>
      </c>
      <c r="H57" s="4">
        <v>1736</v>
      </c>
      <c r="I57" s="4">
        <v>173.6</v>
      </c>
      <c r="J57" s="4"/>
      <c r="K57" s="6">
        <v>8</v>
      </c>
      <c r="L57" s="3" t="s">
        <v>19</v>
      </c>
      <c r="M57" s="3">
        <v>5</v>
      </c>
      <c r="N57" s="3" t="s">
        <v>20</v>
      </c>
      <c r="O57" s="3">
        <v>4</v>
      </c>
      <c r="P57" s="2">
        <f t="shared" si="0"/>
        <v>0.41</v>
      </c>
      <c r="Q57" s="4"/>
      <c r="R57" s="3" t="s">
        <v>21</v>
      </c>
    </row>
    <row r="58" spans="1:18" x14ac:dyDescent="0.25">
      <c r="A58" s="11" t="s">
        <v>36</v>
      </c>
      <c r="B58" s="11"/>
      <c r="C58" s="11"/>
      <c r="D58" s="11"/>
      <c r="E58" s="11"/>
      <c r="F58" s="11"/>
      <c r="G58" s="11"/>
      <c r="H58" s="12">
        <f>SUM(H8:H57)</f>
        <v>188907.99999999997</v>
      </c>
      <c r="I58" s="12">
        <f>SUM(I8:I57)</f>
        <v>18890.19999999999</v>
      </c>
      <c r="J58" s="13"/>
      <c r="K58" s="13"/>
      <c r="L58" s="14"/>
      <c r="M58" s="14"/>
      <c r="N58" s="14"/>
      <c r="O58" s="14"/>
      <c r="P58" s="14"/>
      <c r="Q58" s="12">
        <f>SUM(Q8:Q57)</f>
        <v>0</v>
      </c>
    </row>
  </sheetData>
  <mergeCells count="7">
    <mergeCell ref="A58:G58"/>
    <mergeCell ref="A5:R5"/>
    <mergeCell ref="A1:R1"/>
    <mergeCell ref="A2:R2"/>
    <mergeCell ref="A3:R3"/>
    <mergeCell ref="A4:R4"/>
    <mergeCell ref="A6:R6"/>
  </mergeCells>
  <pageMargins left="0.78740157499999996" right="0.78740157499999996" top="0.984251969" bottom="0.984251969" header="0.4921259845" footer="0.4921259845"/>
  <pageSetup paperSize="9" scale="61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1</xdr:col>
                <xdr:colOff>323850</xdr:colOff>
                <xdr:row>6</xdr:row>
                <xdr:rowOff>228600</xdr:rowOff>
              </to>
            </anchor>
          </controlPr>
        </control>
      </mc:Choice>
      <mc:Fallback>
        <control shapeId="1026" r:id="rId4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Generico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genérico - Resultado</dc:title>
  <dc:creator>Silvano De Araujo Teixeira</dc:creator>
  <cp:lastModifiedBy>Silvano De Araujo Teixeira</cp:lastModifiedBy>
  <cp:lastPrinted>2026-04-15T21:05:01Z</cp:lastPrinted>
  <dcterms:created xsi:type="dcterms:W3CDTF">2026-04-10T17:11:00Z</dcterms:created>
  <dcterms:modified xsi:type="dcterms:W3CDTF">2026-04-16T13:05:50Z</dcterms:modified>
</cp:coreProperties>
</file>