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P_8235\Desktop\COMISSÃO DE AVALIAÇÃO 2026\"/>
    </mc:Choice>
  </mc:AlternateContent>
  <bookViews>
    <workbookView xWindow="0" yWindow="0" windowWidth="28800" windowHeight="12015"/>
  </bookViews>
  <sheets>
    <sheet name="Generico" sheetId="1" r:id="rId1"/>
  </sheets>
  <definedNames>
    <definedName name="_xlnm._FilterDatabase" localSheetId="0" hidden="1">Generico!$A$7:$R$7</definedName>
  </definedNames>
  <calcPr calcId="152511"/>
</workbook>
</file>

<file path=xl/calcChain.xml><?xml version="1.0" encoding="utf-8"?>
<calcChain xmlns="http://schemas.openxmlformats.org/spreadsheetml/2006/main">
  <c r="Q32" i="1" l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8" i="1"/>
  <c r="I32" i="1"/>
  <c r="H32" i="1"/>
</calcChain>
</file>

<file path=xl/sharedStrings.xml><?xml version="1.0" encoding="utf-8"?>
<sst xmlns="http://schemas.openxmlformats.org/spreadsheetml/2006/main" count="228" uniqueCount="59">
  <si>
    <t>Natureza de Despesa</t>
  </si>
  <si>
    <t>Material</t>
  </si>
  <si>
    <t>NRP</t>
  </si>
  <si>
    <t>TIPO</t>
  </si>
  <si>
    <t>Marca</t>
  </si>
  <si>
    <t>Modelo</t>
  </si>
  <si>
    <t>Data de Tombamento</t>
  </si>
  <si>
    <t>Valor Contabil</t>
  </si>
  <si>
    <t>Valor Atual</t>
  </si>
  <si>
    <t>PUB (PERÍODO DE UTILIZAÇÃO DO BEM – DECORRIDO - Anos</t>
  </si>
  <si>
    <t>FATOR PUB</t>
  </si>
  <si>
    <t>PVU (PERÍODO DE VIDA ÚTIL – REMANESCENTE - Anos)</t>
  </si>
  <si>
    <t>FATOR PVU</t>
  </si>
  <si>
    <t>Situação do Bem</t>
  </si>
  <si>
    <t> 44905243</t>
  </si>
  <si>
    <t> SUBSISTEMA STORAGE (SISTEMA DE ARMAZENAMENTO DE DADOS) (31939)</t>
  </si>
  <si>
    <t> HUAWEI</t>
  </si>
  <si>
    <t> OCEANSTOR 18500 V5</t>
  </si>
  <si>
    <t> 17/08/2018</t>
  </si>
  <si>
    <t> 5</t>
  </si>
  <si>
    <t> 0</t>
  </si>
  <si>
    <t> 4</t>
  </si>
  <si>
    <t> REGULAR</t>
  </si>
  <si>
    <t> HITACHI</t>
  </si>
  <si>
    <t> HDS MODEL STORAGE VSP G700</t>
  </si>
  <si>
    <t> 17/06/2020</t>
  </si>
  <si>
    <t> ACESSÓRIO PARA EQUIPAMENTOS DE TIC - SERVIDORES/STORAGE (37546)</t>
  </si>
  <si>
    <t> Agregação</t>
  </si>
  <si>
    <t> HD INTERNO (39159)</t>
  </si>
  <si>
    <t> SEAGATE</t>
  </si>
  <si>
    <t>  ST6000VX001</t>
  </si>
  <si>
    <t> 21/09/2020</t>
  </si>
  <si>
    <t> 3</t>
  </si>
  <si>
    <t> 2</t>
  </si>
  <si>
    <t> APPLIANCE DE SOLUÇÃO DE SEGURANÇA DE REDE (35173)</t>
  </si>
  <si>
    <t> FORTINET</t>
  </si>
  <si>
    <t> FORTIGATE 220 1 E</t>
  </si>
  <si>
    <t> 16/09/2020</t>
  </si>
  <si>
    <t> SERVIDOR DE REDE (APPLIANCE) (35174)</t>
  </si>
  <si>
    <t> FORTIMANAGER-300E</t>
  </si>
  <si>
    <t> HD EXTERNO (39160)</t>
  </si>
  <si>
    <t> SEAGATE EXPANSION</t>
  </si>
  <si>
    <t> STEB8000100</t>
  </si>
  <si>
    <t> 24/09/2021</t>
  </si>
  <si>
    <t> 1</t>
  </si>
  <si>
    <t> ALFRED</t>
  </si>
  <si>
    <t> PLAY 16TB-SERVIDOR DE VÍDEO</t>
  </si>
  <si>
    <t> 22/12/2021</t>
  </si>
  <si>
    <t>PORTARIA Nº   , DE  /  /2026 - COMISSÃO ESPECIAL DE REAVALIAÇÃO DE BENS MÓVEIS</t>
  </si>
  <si>
    <t>SIGMAS - Relatório Genérico - Patrimônio</t>
  </si>
  <si>
    <r>
      <t xml:space="preserve">Servidor: </t>
    </r>
    <r>
      <rPr>
        <b/>
        <sz val="12"/>
        <color rgb="FF008000"/>
        <rFont val="Calibri"/>
        <family val="2"/>
        <scheme val="minor"/>
      </rPr>
      <t>Silvano De Araujo Teixeira</t>
    </r>
    <r>
      <rPr>
        <b/>
        <sz val="12"/>
        <color theme="1"/>
        <rFont val="Calibri"/>
        <family val="2"/>
        <scheme val="minor"/>
      </rPr>
      <t xml:space="preserve"> - Ponto: </t>
    </r>
    <r>
      <rPr>
        <b/>
        <sz val="12"/>
        <color rgb="FF008000"/>
        <rFont val="Calibri"/>
        <family val="2"/>
        <scheme val="minor"/>
      </rPr>
      <t>P_8235</t>
    </r>
  </si>
  <si>
    <t>NATUREZA DE DESPESA 44905243 - EQUIPAMENTOS DE TIC (SERVIDORES/STORAGE)</t>
  </si>
  <si>
    <t>24 BENS</t>
  </si>
  <si>
    <t>DATA DE EMISSÃO DO RELATÓRIO: 10/4/2026</t>
  </si>
  <si>
    <t>TOTAL=&gt;</t>
  </si>
  <si>
    <t>VALOR DE MERCADO (VMB)</t>
  </si>
  <si>
    <t>ESTADO DE CONSERVAÇÃO (EC)</t>
  </si>
  <si>
    <t>FATOR DE REAVALIAÇÃO (FR)</t>
  </si>
  <si>
    <t>VALOR DO BEM REAVALIADO (VBR)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</si>
</sst>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0" fillId="0" borderId="0" xfId="0"/>
    <xf numFmtId="0" fontId="22" fillId="34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/>
    </xf>
    <xf numFmtId="164" fontId="23" fillId="0" borderId="10" xfId="0" applyNumberFormat="1" applyFont="1" applyBorder="1" applyAlignment="1">
      <alignment horizontal="left" vertical="center" wrapText="1"/>
    </xf>
    <xf numFmtId="164" fontId="22" fillId="34" borderId="10" xfId="0" applyNumberFormat="1" applyFont="1" applyFill="1" applyBorder="1" applyAlignment="1">
      <alignment horizontal="left" vertical="center"/>
    </xf>
    <xf numFmtId="0" fontId="23" fillId="0" borderId="10" xfId="0" applyNumberFormat="1" applyFont="1" applyBorder="1" applyAlignment="1">
      <alignment horizontal="left" vertical="center" wrapText="1"/>
    </xf>
    <xf numFmtId="164" fontId="22" fillId="34" borderId="10" xfId="0" applyNumberFormat="1" applyFont="1" applyFill="1" applyBorder="1" applyAlignment="1">
      <alignment horizontal="left" vertical="center" wrapText="1"/>
    </xf>
    <xf numFmtId="164" fontId="22" fillId="0" borderId="10" xfId="0" applyNumberFormat="1" applyFont="1" applyFill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/>
    </xf>
    <xf numFmtId="0" fontId="21" fillId="33" borderId="10" xfId="0" applyFont="1" applyFill="1" applyBorder="1" applyAlignment="1">
      <alignment horizont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6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9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323850</xdr:colOff>
          <xdr:row>6</xdr:row>
          <xdr:rowOff>228600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pageSetUpPr fitToPage="1"/>
  </sheetPr>
  <dimension ref="A1:R32"/>
  <sheetViews>
    <sheetView showGridLines="0" tabSelected="1" topLeftCell="A19" workbookViewId="0">
      <selection activeCell="C38" sqref="C38"/>
    </sheetView>
  </sheetViews>
  <sheetFormatPr defaultRowHeight="15" x14ac:dyDescent="0.25"/>
  <cols>
    <col min="1" max="1" width="8.85546875" bestFit="1" customWidth="1"/>
    <col min="2" max="2" width="36.5703125" bestFit="1" customWidth="1"/>
    <col min="3" max="3" width="6.140625" bestFit="1" customWidth="1"/>
    <col min="4" max="4" width="8.28515625" bestFit="1" customWidth="1"/>
    <col min="5" max="5" width="14.7109375" bestFit="1" customWidth="1"/>
    <col min="6" max="6" width="22.140625" bestFit="1" customWidth="1"/>
    <col min="7" max="7" width="11.42578125" customWidth="1"/>
    <col min="8" max="8" width="13.7109375" style="1" customWidth="1"/>
    <col min="9" max="9" width="10.85546875" style="1" customWidth="1"/>
    <col min="10" max="10" width="16.140625" style="1" customWidth="1"/>
    <col min="11" max="11" width="10.85546875" style="1" customWidth="1"/>
    <col min="12" max="12" width="21.5703125" customWidth="1"/>
    <col min="13" max="13" width="6.42578125" style="1" customWidth="1"/>
    <col min="14" max="14" width="22.140625" customWidth="1"/>
    <col min="15" max="15" width="8" style="1" customWidth="1"/>
    <col min="16" max="16" width="11.140625" style="1" customWidth="1"/>
    <col min="17" max="17" width="14.85546875" style="1" customWidth="1"/>
    <col min="18" max="18" width="10.140625" customWidth="1"/>
  </cols>
  <sheetData>
    <row r="1" spans="1:18" x14ac:dyDescent="0.25">
      <c r="A1" s="17" t="s">
        <v>48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5.75" x14ac:dyDescent="0.25">
      <c r="A2" s="18" t="s">
        <v>49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15.75" x14ac:dyDescent="0.25">
      <c r="A3" s="18" t="s">
        <v>50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5.75" x14ac:dyDescent="0.25">
      <c r="A4" s="18" t="s">
        <v>51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5.75" x14ac:dyDescent="0.25">
      <c r="A5" s="15" t="s">
        <v>52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</row>
    <row r="6" spans="1:18" ht="15.75" x14ac:dyDescent="0.25">
      <c r="A6" s="11" t="s">
        <v>53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18" ht="42" customHeight="1" x14ac:dyDescent="0.2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55</v>
      </c>
      <c r="K7" s="2" t="s">
        <v>56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57</v>
      </c>
      <c r="Q7" s="2" t="s">
        <v>58</v>
      </c>
      <c r="R7" s="2" t="s">
        <v>13</v>
      </c>
    </row>
    <row r="8" spans="1:18" ht="22.5" x14ac:dyDescent="0.25">
      <c r="A8" s="3" t="s">
        <v>14</v>
      </c>
      <c r="B8" s="3" t="s">
        <v>15</v>
      </c>
      <c r="C8" s="3">
        <v>372960</v>
      </c>
      <c r="D8" s="3"/>
      <c r="E8" s="3" t="s">
        <v>16</v>
      </c>
      <c r="F8" s="3" t="s">
        <v>17</v>
      </c>
      <c r="G8" s="3" t="s">
        <v>18</v>
      </c>
      <c r="H8" s="5">
        <v>2725150</v>
      </c>
      <c r="I8" s="5">
        <v>272515</v>
      </c>
      <c r="J8" s="5"/>
      <c r="K8" s="7">
        <v>8</v>
      </c>
      <c r="L8" s="3" t="s">
        <v>19</v>
      </c>
      <c r="M8" s="3">
        <v>5</v>
      </c>
      <c r="N8" s="3" t="s">
        <v>20</v>
      </c>
      <c r="O8" s="3">
        <v>4</v>
      </c>
      <c r="P8" s="3">
        <f>(4*K8+6*O8-3*M8)/100</f>
        <v>0.41</v>
      </c>
      <c r="Q8" s="5"/>
      <c r="R8" s="3" t="s">
        <v>22</v>
      </c>
    </row>
    <row r="9" spans="1:18" ht="22.5" x14ac:dyDescent="0.25">
      <c r="A9" s="3" t="s">
        <v>14</v>
      </c>
      <c r="B9" s="3" t="s">
        <v>15</v>
      </c>
      <c r="C9" s="3">
        <v>372961</v>
      </c>
      <c r="D9" s="3"/>
      <c r="E9" s="3" t="s">
        <v>16</v>
      </c>
      <c r="F9" s="3" t="s">
        <v>17</v>
      </c>
      <c r="G9" s="3" t="s">
        <v>18</v>
      </c>
      <c r="H9" s="5">
        <v>2725150</v>
      </c>
      <c r="I9" s="5">
        <v>272515</v>
      </c>
      <c r="J9" s="5"/>
      <c r="K9" s="7">
        <v>8</v>
      </c>
      <c r="L9" s="3" t="s">
        <v>19</v>
      </c>
      <c r="M9" s="3">
        <v>5</v>
      </c>
      <c r="N9" s="3" t="s">
        <v>20</v>
      </c>
      <c r="O9" s="3">
        <v>4</v>
      </c>
      <c r="P9" s="3">
        <f t="shared" ref="P9:P31" si="0">(4*K9+6*O9-3*M9)/100</f>
        <v>0.41</v>
      </c>
      <c r="Q9" s="5"/>
      <c r="R9" s="3" t="s">
        <v>22</v>
      </c>
    </row>
    <row r="10" spans="1:18" ht="22.5" x14ac:dyDescent="0.25">
      <c r="A10" s="3" t="s">
        <v>14</v>
      </c>
      <c r="B10" s="3" t="s">
        <v>15</v>
      </c>
      <c r="C10" s="3">
        <v>391113</v>
      </c>
      <c r="D10" s="3"/>
      <c r="E10" s="3" t="s">
        <v>23</v>
      </c>
      <c r="F10" s="3" t="s">
        <v>24</v>
      </c>
      <c r="G10" s="3" t="s">
        <v>25</v>
      </c>
      <c r="H10" s="5">
        <v>704380.1</v>
      </c>
      <c r="I10" s="5">
        <v>70438.100000000006</v>
      </c>
      <c r="J10" s="5"/>
      <c r="K10" s="7">
        <v>8</v>
      </c>
      <c r="L10" s="3" t="s">
        <v>19</v>
      </c>
      <c r="M10" s="3">
        <v>5</v>
      </c>
      <c r="N10" s="3" t="s">
        <v>20</v>
      </c>
      <c r="O10" s="3">
        <v>4</v>
      </c>
      <c r="P10" s="3">
        <f t="shared" si="0"/>
        <v>0.41</v>
      </c>
      <c r="Q10" s="5"/>
      <c r="R10" s="3" t="s">
        <v>22</v>
      </c>
    </row>
    <row r="11" spans="1:18" ht="22.5" x14ac:dyDescent="0.25">
      <c r="A11" s="3" t="s">
        <v>14</v>
      </c>
      <c r="B11" s="3" t="s">
        <v>26</v>
      </c>
      <c r="C11" s="3">
        <v>391113</v>
      </c>
      <c r="D11" s="3" t="s">
        <v>27</v>
      </c>
      <c r="E11" s="3" t="s">
        <v>23</v>
      </c>
      <c r="F11" s="3" t="s">
        <v>24</v>
      </c>
      <c r="G11" s="3" t="s">
        <v>25</v>
      </c>
      <c r="H11" s="5">
        <v>73.41</v>
      </c>
      <c r="I11" s="5">
        <v>7.41</v>
      </c>
      <c r="J11" s="5"/>
      <c r="K11" s="7">
        <v>8</v>
      </c>
      <c r="L11" s="3" t="s">
        <v>19</v>
      </c>
      <c r="M11" s="3">
        <v>5</v>
      </c>
      <c r="N11" s="3" t="s">
        <v>20</v>
      </c>
      <c r="O11" s="3">
        <v>4</v>
      </c>
      <c r="P11" s="3">
        <f t="shared" si="0"/>
        <v>0.41</v>
      </c>
      <c r="Q11" s="5"/>
      <c r="R11" s="3" t="s">
        <v>22</v>
      </c>
    </row>
    <row r="12" spans="1:18" ht="22.5" x14ac:dyDescent="0.25">
      <c r="A12" s="3" t="s">
        <v>14</v>
      </c>
      <c r="B12" s="3" t="s">
        <v>26</v>
      </c>
      <c r="C12" s="3">
        <v>391113</v>
      </c>
      <c r="D12" s="3" t="s">
        <v>27</v>
      </c>
      <c r="E12" s="3" t="s">
        <v>23</v>
      </c>
      <c r="F12" s="3" t="s">
        <v>24</v>
      </c>
      <c r="G12" s="3" t="s">
        <v>25</v>
      </c>
      <c r="H12" s="5">
        <v>73.430000000000007</v>
      </c>
      <c r="I12" s="5">
        <v>7.43</v>
      </c>
      <c r="J12" s="5"/>
      <c r="K12" s="7">
        <v>8</v>
      </c>
      <c r="L12" s="3" t="s">
        <v>19</v>
      </c>
      <c r="M12" s="3">
        <v>5</v>
      </c>
      <c r="N12" s="3" t="s">
        <v>20</v>
      </c>
      <c r="O12" s="3">
        <v>4</v>
      </c>
      <c r="P12" s="3">
        <f t="shared" si="0"/>
        <v>0.41</v>
      </c>
      <c r="Q12" s="5"/>
      <c r="R12" s="3" t="s">
        <v>22</v>
      </c>
    </row>
    <row r="13" spans="1:18" ht="22.5" x14ac:dyDescent="0.25">
      <c r="A13" s="3" t="s">
        <v>14</v>
      </c>
      <c r="B13" s="3" t="s">
        <v>26</v>
      </c>
      <c r="C13" s="3">
        <v>391113</v>
      </c>
      <c r="D13" s="3" t="s">
        <v>27</v>
      </c>
      <c r="E13" s="3" t="s">
        <v>23</v>
      </c>
      <c r="F13" s="3" t="s">
        <v>24</v>
      </c>
      <c r="G13" s="3" t="s">
        <v>25</v>
      </c>
      <c r="H13" s="5">
        <v>73.430000000000007</v>
      </c>
      <c r="I13" s="5">
        <v>7.43</v>
      </c>
      <c r="J13" s="5"/>
      <c r="K13" s="7">
        <v>8</v>
      </c>
      <c r="L13" s="3" t="s">
        <v>19</v>
      </c>
      <c r="M13" s="3">
        <v>5</v>
      </c>
      <c r="N13" s="3" t="s">
        <v>20</v>
      </c>
      <c r="O13" s="3">
        <v>4</v>
      </c>
      <c r="P13" s="3">
        <f t="shared" si="0"/>
        <v>0.41</v>
      </c>
      <c r="Q13" s="5"/>
      <c r="R13" s="3" t="s">
        <v>22</v>
      </c>
    </row>
    <row r="14" spans="1:18" ht="22.5" x14ac:dyDescent="0.25">
      <c r="A14" s="3" t="s">
        <v>14</v>
      </c>
      <c r="B14" s="3" t="s">
        <v>26</v>
      </c>
      <c r="C14" s="3">
        <v>391113</v>
      </c>
      <c r="D14" s="3" t="s">
        <v>27</v>
      </c>
      <c r="E14" s="3" t="s">
        <v>23</v>
      </c>
      <c r="F14" s="3" t="s">
        <v>24</v>
      </c>
      <c r="G14" s="3" t="s">
        <v>25</v>
      </c>
      <c r="H14" s="5">
        <v>73.430000000000007</v>
      </c>
      <c r="I14" s="5">
        <v>7.43</v>
      </c>
      <c r="J14" s="5"/>
      <c r="K14" s="7">
        <v>8</v>
      </c>
      <c r="L14" s="3" t="s">
        <v>19</v>
      </c>
      <c r="M14" s="3">
        <v>5</v>
      </c>
      <c r="N14" s="3" t="s">
        <v>20</v>
      </c>
      <c r="O14" s="3">
        <v>4</v>
      </c>
      <c r="P14" s="3">
        <f t="shared" si="0"/>
        <v>0.41</v>
      </c>
      <c r="Q14" s="5"/>
      <c r="R14" s="3" t="s">
        <v>22</v>
      </c>
    </row>
    <row r="15" spans="1:18" ht="22.5" x14ac:dyDescent="0.25">
      <c r="A15" s="3" t="s">
        <v>14</v>
      </c>
      <c r="B15" s="3" t="s">
        <v>26</v>
      </c>
      <c r="C15" s="3">
        <v>391113</v>
      </c>
      <c r="D15" s="3" t="s">
        <v>27</v>
      </c>
      <c r="E15" s="3" t="s">
        <v>23</v>
      </c>
      <c r="F15" s="3" t="s">
        <v>24</v>
      </c>
      <c r="G15" s="3" t="s">
        <v>25</v>
      </c>
      <c r="H15" s="5">
        <v>50006.29</v>
      </c>
      <c r="I15" s="5">
        <v>5000.8900000000003</v>
      </c>
      <c r="J15" s="5"/>
      <c r="K15" s="7">
        <v>8</v>
      </c>
      <c r="L15" s="3" t="s">
        <v>19</v>
      </c>
      <c r="M15" s="3">
        <v>5</v>
      </c>
      <c r="N15" s="3" t="s">
        <v>20</v>
      </c>
      <c r="O15" s="3">
        <v>4</v>
      </c>
      <c r="P15" s="3">
        <f t="shared" si="0"/>
        <v>0.41</v>
      </c>
      <c r="Q15" s="5"/>
      <c r="R15" s="3" t="s">
        <v>22</v>
      </c>
    </row>
    <row r="16" spans="1:18" ht="22.5" x14ac:dyDescent="0.25">
      <c r="A16" s="3" t="s">
        <v>14</v>
      </c>
      <c r="B16" s="3" t="s">
        <v>26</v>
      </c>
      <c r="C16" s="3">
        <v>391113</v>
      </c>
      <c r="D16" s="3" t="s">
        <v>27</v>
      </c>
      <c r="E16" s="3" t="s">
        <v>23</v>
      </c>
      <c r="F16" s="3" t="s">
        <v>24</v>
      </c>
      <c r="G16" s="3" t="s">
        <v>25</v>
      </c>
      <c r="H16" s="5">
        <v>60304.51</v>
      </c>
      <c r="I16" s="5">
        <v>6030.31</v>
      </c>
      <c r="J16" s="5"/>
      <c r="K16" s="7">
        <v>8</v>
      </c>
      <c r="L16" s="3" t="s">
        <v>19</v>
      </c>
      <c r="M16" s="3">
        <v>5</v>
      </c>
      <c r="N16" s="3" t="s">
        <v>20</v>
      </c>
      <c r="O16" s="3">
        <v>4</v>
      </c>
      <c r="P16" s="3">
        <f t="shared" si="0"/>
        <v>0.41</v>
      </c>
      <c r="Q16" s="5"/>
      <c r="R16" s="3" t="s">
        <v>22</v>
      </c>
    </row>
    <row r="17" spans="1:18" ht="22.5" x14ac:dyDescent="0.25">
      <c r="A17" s="3" t="s">
        <v>14</v>
      </c>
      <c r="B17" s="3" t="s">
        <v>26</v>
      </c>
      <c r="C17" s="3">
        <v>391113</v>
      </c>
      <c r="D17" s="3" t="s">
        <v>27</v>
      </c>
      <c r="E17" s="3" t="s">
        <v>23</v>
      </c>
      <c r="F17" s="3" t="s">
        <v>24</v>
      </c>
      <c r="G17" s="3" t="s">
        <v>25</v>
      </c>
      <c r="H17" s="5">
        <v>128078.39999999999</v>
      </c>
      <c r="I17" s="5">
        <v>12807.6</v>
      </c>
      <c r="J17" s="5"/>
      <c r="K17" s="7">
        <v>8</v>
      </c>
      <c r="L17" s="3" t="s">
        <v>19</v>
      </c>
      <c r="M17" s="3">
        <v>5</v>
      </c>
      <c r="N17" s="3" t="s">
        <v>20</v>
      </c>
      <c r="O17" s="3">
        <v>4</v>
      </c>
      <c r="P17" s="3">
        <f t="shared" si="0"/>
        <v>0.41</v>
      </c>
      <c r="Q17" s="5"/>
      <c r="R17" s="3" t="s">
        <v>22</v>
      </c>
    </row>
    <row r="18" spans="1:18" x14ac:dyDescent="0.25">
      <c r="A18" s="3" t="s">
        <v>14</v>
      </c>
      <c r="B18" s="3" t="s">
        <v>28</v>
      </c>
      <c r="C18" s="3">
        <v>392676</v>
      </c>
      <c r="D18" s="3" t="s">
        <v>27</v>
      </c>
      <c r="E18" s="3" t="s">
        <v>29</v>
      </c>
      <c r="F18" s="3" t="s">
        <v>30</v>
      </c>
      <c r="G18" s="3" t="s">
        <v>31</v>
      </c>
      <c r="H18" s="5">
        <v>1368.9</v>
      </c>
      <c r="I18" s="5">
        <v>527.16999999999996</v>
      </c>
      <c r="J18" s="5"/>
      <c r="K18" s="7">
        <v>8</v>
      </c>
      <c r="L18" s="3" t="s">
        <v>32</v>
      </c>
      <c r="M18" s="3">
        <v>3</v>
      </c>
      <c r="N18" s="3" t="s">
        <v>33</v>
      </c>
      <c r="O18" s="3">
        <v>4</v>
      </c>
      <c r="P18" s="3">
        <f t="shared" si="0"/>
        <v>0.47</v>
      </c>
      <c r="Q18" s="5"/>
      <c r="R18" s="3" t="s">
        <v>22</v>
      </c>
    </row>
    <row r="19" spans="1:18" x14ac:dyDescent="0.25">
      <c r="A19" s="3" t="s">
        <v>14</v>
      </c>
      <c r="B19" s="3" t="s">
        <v>28</v>
      </c>
      <c r="C19" s="3">
        <v>392676</v>
      </c>
      <c r="D19" s="3" t="s">
        <v>27</v>
      </c>
      <c r="E19" s="3" t="s">
        <v>29</v>
      </c>
      <c r="F19" s="3" t="s">
        <v>30</v>
      </c>
      <c r="G19" s="3" t="s">
        <v>31</v>
      </c>
      <c r="H19" s="5">
        <v>1368.9</v>
      </c>
      <c r="I19" s="5">
        <v>527.16999999999996</v>
      </c>
      <c r="J19" s="5"/>
      <c r="K19" s="7">
        <v>8</v>
      </c>
      <c r="L19" s="3" t="s">
        <v>32</v>
      </c>
      <c r="M19" s="3">
        <v>3</v>
      </c>
      <c r="N19" s="3" t="s">
        <v>33</v>
      </c>
      <c r="O19" s="3">
        <v>4</v>
      </c>
      <c r="P19" s="3">
        <f t="shared" si="0"/>
        <v>0.47</v>
      </c>
      <c r="Q19" s="5"/>
      <c r="R19" s="3" t="s">
        <v>22</v>
      </c>
    </row>
    <row r="20" spans="1:18" x14ac:dyDescent="0.25">
      <c r="A20" s="3" t="s">
        <v>14</v>
      </c>
      <c r="B20" s="3" t="s">
        <v>28</v>
      </c>
      <c r="C20" s="3">
        <v>392677</v>
      </c>
      <c r="D20" s="3" t="s">
        <v>27</v>
      </c>
      <c r="E20" s="3" t="s">
        <v>29</v>
      </c>
      <c r="F20" s="3" t="s">
        <v>30</v>
      </c>
      <c r="G20" s="3" t="s">
        <v>31</v>
      </c>
      <c r="H20" s="5">
        <v>1368.9</v>
      </c>
      <c r="I20" s="5">
        <v>527.16999999999996</v>
      </c>
      <c r="J20" s="5"/>
      <c r="K20" s="7">
        <v>8</v>
      </c>
      <c r="L20" s="3" t="s">
        <v>32</v>
      </c>
      <c r="M20" s="3">
        <v>3</v>
      </c>
      <c r="N20" s="3" t="s">
        <v>33</v>
      </c>
      <c r="O20" s="3">
        <v>4</v>
      </c>
      <c r="P20" s="3">
        <f t="shared" si="0"/>
        <v>0.47</v>
      </c>
      <c r="Q20" s="5"/>
      <c r="R20" s="3" t="s">
        <v>22</v>
      </c>
    </row>
    <row r="21" spans="1:18" x14ac:dyDescent="0.25">
      <c r="A21" s="3" t="s">
        <v>14</v>
      </c>
      <c r="B21" s="3" t="s">
        <v>28</v>
      </c>
      <c r="C21" s="3">
        <v>392677</v>
      </c>
      <c r="D21" s="3" t="s">
        <v>27</v>
      </c>
      <c r="E21" s="3" t="s">
        <v>29</v>
      </c>
      <c r="F21" s="3" t="s">
        <v>30</v>
      </c>
      <c r="G21" s="3" t="s">
        <v>31</v>
      </c>
      <c r="H21" s="5">
        <v>1368.9</v>
      </c>
      <c r="I21" s="5">
        <v>527.16999999999996</v>
      </c>
      <c r="J21" s="5"/>
      <c r="K21" s="7">
        <v>8</v>
      </c>
      <c r="L21" s="3" t="s">
        <v>32</v>
      </c>
      <c r="M21" s="3">
        <v>3</v>
      </c>
      <c r="N21" s="3" t="s">
        <v>33</v>
      </c>
      <c r="O21" s="3">
        <v>4</v>
      </c>
      <c r="P21" s="3">
        <f t="shared" si="0"/>
        <v>0.47</v>
      </c>
      <c r="Q21" s="5"/>
      <c r="R21" s="3" t="s">
        <v>22</v>
      </c>
    </row>
    <row r="22" spans="1:18" ht="22.5" x14ac:dyDescent="0.25">
      <c r="A22" s="3" t="s">
        <v>14</v>
      </c>
      <c r="B22" s="3" t="s">
        <v>34</v>
      </c>
      <c r="C22" s="3">
        <v>392708</v>
      </c>
      <c r="D22" s="3"/>
      <c r="E22" s="3" t="s">
        <v>35</v>
      </c>
      <c r="F22" s="3" t="s">
        <v>36</v>
      </c>
      <c r="G22" s="3" t="s">
        <v>37</v>
      </c>
      <c r="H22" s="5">
        <v>600000</v>
      </c>
      <c r="I22" s="5">
        <v>60000</v>
      </c>
      <c r="J22" s="5"/>
      <c r="K22" s="7">
        <v>8</v>
      </c>
      <c r="L22" s="3" t="s">
        <v>19</v>
      </c>
      <c r="M22" s="3">
        <v>5</v>
      </c>
      <c r="N22" s="3" t="s">
        <v>20</v>
      </c>
      <c r="O22" s="3">
        <v>4</v>
      </c>
      <c r="P22" s="3">
        <f t="shared" si="0"/>
        <v>0.41</v>
      </c>
      <c r="Q22" s="5"/>
      <c r="R22" s="3" t="s">
        <v>22</v>
      </c>
    </row>
    <row r="23" spans="1:18" ht="22.5" x14ac:dyDescent="0.25">
      <c r="A23" s="3" t="s">
        <v>14</v>
      </c>
      <c r="B23" s="3" t="s">
        <v>34</v>
      </c>
      <c r="C23" s="3">
        <v>392709</v>
      </c>
      <c r="D23" s="3"/>
      <c r="E23" s="3" t="s">
        <v>35</v>
      </c>
      <c r="F23" s="3" t="s">
        <v>36</v>
      </c>
      <c r="G23" s="3" t="s">
        <v>37</v>
      </c>
      <c r="H23" s="5">
        <v>600000</v>
      </c>
      <c r="I23" s="5">
        <v>60000</v>
      </c>
      <c r="J23" s="5"/>
      <c r="K23" s="7">
        <v>8</v>
      </c>
      <c r="L23" s="3" t="s">
        <v>19</v>
      </c>
      <c r="M23" s="3">
        <v>5</v>
      </c>
      <c r="N23" s="3" t="s">
        <v>20</v>
      </c>
      <c r="O23" s="3">
        <v>4</v>
      </c>
      <c r="P23" s="3">
        <f t="shared" si="0"/>
        <v>0.41</v>
      </c>
      <c r="Q23" s="5"/>
      <c r="R23" s="3" t="s">
        <v>22</v>
      </c>
    </row>
    <row r="24" spans="1:18" x14ac:dyDescent="0.25">
      <c r="A24" s="3" t="s">
        <v>14</v>
      </c>
      <c r="B24" s="3" t="s">
        <v>38</v>
      </c>
      <c r="C24" s="3">
        <v>392710</v>
      </c>
      <c r="D24" s="3"/>
      <c r="E24" s="3" t="s">
        <v>35</v>
      </c>
      <c r="F24" s="3" t="s">
        <v>39</v>
      </c>
      <c r="G24" s="3" t="s">
        <v>37</v>
      </c>
      <c r="H24" s="5">
        <v>42500</v>
      </c>
      <c r="I24" s="5">
        <v>4250</v>
      </c>
      <c r="J24" s="5"/>
      <c r="K24" s="7">
        <v>8</v>
      </c>
      <c r="L24" s="3" t="s">
        <v>19</v>
      </c>
      <c r="M24" s="3">
        <v>5</v>
      </c>
      <c r="N24" s="3" t="s">
        <v>20</v>
      </c>
      <c r="O24" s="3">
        <v>4</v>
      </c>
      <c r="P24" s="3">
        <f t="shared" si="0"/>
        <v>0.41</v>
      </c>
      <c r="Q24" s="5"/>
      <c r="R24" s="3" t="s">
        <v>22</v>
      </c>
    </row>
    <row r="25" spans="1:18" x14ac:dyDescent="0.25">
      <c r="A25" s="3" t="s">
        <v>14</v>
      </c>
      <c r="B25" s="3" t="s">
        <v>40</v>
      </c>
      <c r="C25" s="3">
        <v>396137</v>
      </c>
      <c r="D25" s="3"/>
      <c r="E25" s="3" t="s">
        <v>41</v>
      </c>
      <c r="F25" s="3" t="s">
        <v>42</v>
      </c>
      <c r="G25" s="3" t="s">
        <v>43</v>
      </c>
      <c r="H25" s="5">
        <v>1662.81</v>
      </c>
      <c r="I25" s="5">
        <v>316.05</v>
      </c>
      <c r="J25" s="5"/>
      <c r="K25" s="7">
        <v>8</v>
      </c>
      <c r="L25" s="3" t="s">
        <v>21</v>
      </c>
      <c r="M25" s="3">
        <v>4</v>
      </c>
      <c r="N25" s="3" t="s">
        <v>44</v>
      </c>
      <c r="O25" s="3">
        <v>4</v>
      </c>
      <c r="P25" s="3">
        <f t="shared" si="0"/>
        <v>0.44</v>
      </c>
      <c r="Q25" s="5"/>
      <c r="R25" s="3" t="s">
        <v>22</v>
      </c>
    </row>
    <row r="26" spans="1:18" x14ac:dyDescent="0.25">
      <c r="A26" s="3" t="s">
        <v>14</v>
      </c>
      <c r="B26" s="3" t="s">
        <v>40</v>
      </c>
      <c r="C26" s="3">
        <v>396138</v>
      </c>
      <c r="D26" s="3"/>
      <c r="E26" s="3" t="s">
        <v>41</v>
      </c>
      <c r="F26" s="3" t="s">
        <v>42</v>
      </c>
      <c r="G26" s="3" t="s">
        <v>43</v>
      </c>
      <c r="H26" s="5">
        <v>1662.81</v>
      </c>
      <c r="I26" s="5">
        <v>316.05</v>
      </c>
      <c r="J26" s="5"/>
      <c r="K26" s="7">
        <v>8</v>
      </c>
      <c r="L26" s="3" t="s">
        <v>21</v>
      </c>
      <c r="M26" s="3">
        <v>4</v>
      </c>
      <c r="N26" s="3" t="s">
        <v>44</v>
      </c>
      <c r="O26" s="3">
        <v>4</v>
      </c>
      <c r="P26" s="3">
        <f t="shared" si="0"/>
        <v>0.44</v>
      </c>
      <c r="Q26" s="5"/>
      <c r="R26" s="3" t="s">
        <v>22</v>
      </c>
    </row>
    <row r="27" spans="1:18" x14ac:dyDescent="0.25">
      <c r="A27" s="3" t="s">
        <v>14</v>
      </c>
      <c r="B27" s="3" t="s">
        <v>40</v>
      </c>
      <c r="C27" s="3">
        <v>396139</v>
      </c>
      <c r="D27" s="3"/>
      <c r="E27" s="3" t="s">
        <v>41</v>
      </c>
      <c r="F27" s="3" t="s">
        <v>42</v>
      </c>
      <c r="G27" s="3" t="s">
        <v>43</v>
      </c>
      <c r="H27" s="5">
        <v>1662.81</v>
      </c>
      <c r="I27" s="5">
        <v>316.05</v>
      </c>
      <c r="J27" s="5"/>
      <c r="K27" s="7">
        <v>8</v>
      </c>
      <c r="L27" s="3" t="s">
        <v>21</v>
      </c>
      <c r="M27" s="3">
        <v>4</v>
      </c>
      <c r="N27" s="3" t="s">
        <v>44</v>
      </c>
      <c r="O27" s="3">
        <v>4</v>
      </c>
      <c r="P27" s="3">
        <f t="shared" si="0"/>
        <v>0.44</v>
      </c>
      <c r="Q27" s="5"/>
      <c r="R27" s="3" t="s">
        <v>22</v>
      </c>
    </row>
    <row r="28" spans="1:18" x14ac:dyDescent="0.25">
      <c r="A28" s="3" t="s">
        <v>14</v>
      </c>
      <c r="B28" s="3" t="s">
        <v>40</v>
      </c>
      <c r="C28" s="3">
        <v>396140</v>
      </c>
      <c r="D28" s="3"/>
      <c r="E28" s="3" t="s">
        <v>41</v>
      </c>
      <c r="F28" s="3" t="s">
        <v>42</v>
      </c>
      <c r="G28" s="3" t="s">
        <v>43</v>
      </c>
      <c r="H28" s="5">
        <v>1662.79</v>
      </c>
      <c r="I28" s="5">
        <v>316.02999999999997</v>
      </c>
      <c r="J28" s="5"/>
      <c r="K28" s="7">
        <v>8</v>
      </c>
      <c r="L28" s="3" t="s">
        <v>21</v>
      </c>
      <c r="M28" s="3">
        <v>4</v>
      </c>
      <c r="N28" s="3" t="s">
        <v>44</v>
      </c>
      <c r="O28" s="3">
        <v>4</v>
      </c>
      <c r="P28" s="3">
        <f t="shared" si="0"/>
        <v>0.44</v>
      </c>
      <c r="Q28" s="5"/>
      <c r="R28" s="3" t="s">
        <v>22</v>
      </c>
    </row>
    <row r="29" spans="1:18" x14ac:dyDescent="0.25">
      <c r="A29" s="3" t="s">
        <v>14</v>
      </c>
      <c r="B29" s="3" t="s">
        <v>38</v>
      </c>
      <c r="C29" s="3">
        <v>397024</v>
      </c>
      <c r="D29" s="3"/>
      <c r="E29" s="3" t="s">
        <v>45</v>
      </c>
      <c r="F29" s="3" t="s">
        <v>46</v>
      </c>
      <c r="G29" s="3" t="s">
        <v>47</v>
      </c>
      <c r="H29" s="5">
        <v>120000</v>
      </c>
      <c r="I29" s="5">
        <v>28200</v>
      </c>
      <c r="J29" s="5"/>
      <c r="K29" s="7">
        <v>8</v>
      </c>
      <c r="L29" s="3" t="s">
        <v>21</v>
      </c>
      <c r="M29" s="3">
        <v>4</v>
      </c>
      <c r="N29" s="3" t="s">
        <v>44</v>
      </c>
      <c r="O29" s="3">
        <v>4</v>
      </c>
      <c r="P29" s="3">
        <f t="shared" si="0"/>
        <v>0.44</v>
      </c>
      <c r="Q29" s="5"/>
      <c r="R29" s="3" t="s">
        <v>22</v>
      </c>
    </row>
    <row r="30" spans="1:18" x14ac:dyDescent="0.25">
      <c r="A30" s="3" t="s">
        <v>14</v>
      </c>
      <c r="B30" s="3" t="s">
        <v>38</v>
      </c>
      <c r="C30" s="3">
        <v>397025</v>
      </c>
      <c r="D30" s="3"/>
      <c r="E30" s="3" t="s">
        <v>45</v>
      </c>
      <c r="F30" s="3" t="s">
        <v>46</v>
      </c>
      <c r="G30" s="3" t="s">
        <v>47</v>
      </c>
      <c r="H30" s="5">
        <v>120000</v>
      </c>
      <c r="I30" s="5">
        <v>28200</v>
      </c>
      <c r="J30" s="5"/>
      <c r="K30" s="7">
        <v>8</v>
      </c>
      <c r="L30" s="3" t="s">
        <v>21</v>
      </c>
      <c r="M30" s="3">
        <v>4</v>
      </c>
      <c r="N30" s="3" t="s">
        <v>44</v>
      </c>
      <c r="O30" s="3">
        <v>4</v>
      </c>
      <c r="P30" s="3">
        <f t="shared" si="0"/>
        <v>0.44</v>
      </c>
      <c r="Q30" s="5"/>
      <c r="R30" s="3" t="s">
        <v>22</v>
      </c>
    </row>
    <row r="31" spans="1:18" x14ac:dyDescent="0.25">
      <c r="A31" s="3" t="s">
        <v>14</v>
      </c>
      <c r="B31" s="3" t="s">
        <v>38</v>
      </c>
      <c r="C31" s="3">
        <v>397026</v>
      </c>
      <c r="D31" s="3"/>
      <c r="E31" s="3" t="s">
        <v>45</v>
      </c>
      <c r="F31" s="3" t="s">
        <v>46</v>
      </c>
      <c r="G31" s="3" t="s">
        <v>47</v>
      </c>
      <c r="H31" s="5">
        <v>120000</v>
      </c>
      <c r="I31" s="5">
        <v>28200</v>
      </c>
      <c r="J31" s="5"/>
      <c r="K31" s="7">
        <v>8</v>
      </c>
      <c r="L31" s="3" t="s">
        <v>21</v>
      </c>
      <c r="M31" s="3">
        <v>4</v>
      </c>
      <c r="N31" s="3" t="s">
        <v>44</v>
      </c>
      <c r="O31" s="3">
        <v>4</v>
      </c>
      <c r="P31" s="3">
        <f t="shared" si="0"/>
        <v>0.44</v>
      </c>
      <c r="Q31" s="5"/>
      <c r="R31" s="3" t="s">
        <v>22</v>
      </c>
    </row>
    <row r="32" spans="1:18" x14ac:dyDescent="0.25">
      <c r="A32" s="12" t="s">
        <v>54</v>
      </c>
      <c r="B32" s="13"/>
      <c r="C32" s="13"/>
      <c r="D32" s="13"/>
      <c r="E32" s="13"/>
      <c r="F32" s="13"/>
      <c r="G32" s="14"/>
      <c r="H32" s="6">
        <f>SUM(H8:H31)</f>
        <v>8007989.8199999994</v>
      </c>
      <c r="I32" s="8">
        <f>SUM(I8:I31)</f>
        <v>851559.46000000054</v>
      </c>
      <c r="J32" s="9"/>
      <c r="K32" s="9"/>
      <c r="L32" s="10"/>
      <c r="M32" s="10"/>
      <c r="N32" s="10"/>
      <c r="O32" s="10"/>
      <c r="P32" s="10"/>
      <c r="Q32" s="6">
        <f>SUM(Q8:Q31)</f>
        <v>0</v>
      </c>
      <c r="R32" s="4"/>
    </row>
  </sheetData>
  <mergeCells count="7">
    <mergeCell ref="A6:R6"/>
    <mergeCell ref="A32:G32"/>
    <mergeCell ref="A5:R5"/>
    <mergeCell ref="A1:R1"/>
    <mergeCell ref="A2:R2"/>
    <mergeCell ref="A3:R3"/>
    <mergeCell ref="A4:R4"/>
  </mergeCells>
  <pageMargins left="0.78740157499999996" right="0.78740157499999996" top="0.984251969" bottom="0.984251969" header="0.4921259845" footer="0.4921259845"/>
  <pageSetup paperSize="9" scale="5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26" r:id="rId4" name="Control 2">
          <controlPr defaultSize="0" r:id="rId5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323850</xdr:colOff>
                <xdr:row>6</xdr:row>
                <xdr:rowOff>228600</xdr:rowOff>
              </to>
            </anchor>
          </controlPr>
        </control>
      </mc:Choice>
      <mc:Fallback>
        <control shapeId="1026" r:id="rId4" name="Control 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Generico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genérico - Resultado</dc:title>
  <dc:creator>Silvano De Araujo Teixeira</dc:creator>
  <cp:lastModifiedBy>Silvano De Araujo Teixeira</cp:lastModifiedBy>
  <cp:lastPrinted>2026-04-15T21:02:08Z</cp:lastPrinted>
  <dcterms:created xsi:type="dcterms:W3CDTF">2026-04-10T17:10:10Z</dcterms:created>
  <dcterms:modified xsi:type="dcterms:W3CDTF">2026-04-16T13:08:39Z</dcterms:modified>
</cp:coreProperties>
</file>